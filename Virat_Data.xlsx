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Dump2\AlL dATA\Vikas_Class\Excel Class\Excel All Data\Dashboard\"/>
    </mc:Choice>
  </mc:AlternateContent>
  <bookViews>
    <workbookView xWindow="-110" yWindow="-110" windowWidth="19420" windowHeight="10300" activeTab="1"/>
  </bookViews>
  <sheets>
    <sheet name="image" sheetId="2" r:id="rId1"/>
    <sheet name="Data set" sheetId="1" r:id="rId2"/>
    <sheet name="Calculation1111" sheetId="3" state="hidden" r:id="rId3"/>
    <sheet name="Dashboard111" sheetId="4" state="hidden" r:id="rId4"/>
  </sheets>
  <calcPr calcId="162913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B4" i="3"/>
  <c r="I517" i="1" l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<sst xmlns="http://schemas.openxmlformats.org/spreadsheetml/2006/main" count="2612" uniqueCount="125">
  <si>
    <t>index</t>
  </si>
  <si>
    <t>runs</t>
  </si>
  <si>
    <t>opponent</t>
  </si>
  <si>
    <t>ground</t>
  </si>
  <si>
    <t>date</t>
  </si>
  <si>
    <t xml:space="preserve">Quarter </t>
  </si>
  <si>
    <t>Month</t>
  </si>
  <si>
    <t>Year</t>
  </si>
  <si>
    <t>match</t>
  </si>
  <si>
    <t>Match_No</t>
  </si>
  <si>
    <t>total</t>
  </si>
  <si>
    <t>SriLanka</t>
  </si>
  <si>
    <t>Dambulla</t>
  </si>
  <si>
    <t>Qtr 3</t>
  </si>
  <si>
    <t>ODI</t>
  </si>
  <si>
    <t>Colombo(RPS)</t>
  </si>
  <si>
    <t>Pakistan</t>
  </si>
  <si>
    <t>Centurion</t>
  </si>
  <si>
    <t>WestIndies</t>
  </si>
  <si>
    <t>Johannesburg</t>
  </si>
  <si>
    <t>Australia</t>
  </si>
  <si>
    <t>Vadodara</t>
  </si>
  <si>
    <t>Qtr 4</t>
  </si>
  <si>
    <t>Mohali</t>
  </si>
  <si>
    <t>Rajkot</t>
  </si>
  <si>
    <t>Nagpur</t>
  </si>
  <si>
    <t>Kolkata</t>
  </si>
  <si>
    <t>Mirpur</t>
  </si>
  <si>
    <t>Qtr 1</t>
  </si>
  <si>
    <t>Bangladesh</t>
  </si>
  <si>
    <t>SouthAfrica</t>
  </si>
  <si>
    <t>Jaipur</t>
  </si>
  <si>
    <t>Ahmedabad</t>
  </si>
  <si>
    <t>Zimbabwe</t>
  </si>
  <si>
    <t>Bulawayo</t>
  </si>
  <si>
    <t>Qtr 2</t>
  </si>
  <si>
    <t>Harare</t>
  </si>
  <si>
    <t>T20</t>
  </si>
  <si>
    <t>NewZealand</t>
  </si>
  <si>
    <t>Visakhapatnam</t>
  </si>
  <si>
    <t>Guwahati</t>
  </si>
  <si>
    <t>Bengaluru</t>
  </si>
  <si>
    <t>Chennai</t>
  </si>
  <si>
    <t>Durban</t>
  </si>
  <si>
    <t>CapeTown</t>
  </si>
  <si>
    <t>Gqeberha</t>
  </si>
  <si>
    <t>England</t>
  </si>
  <si>
    <t>Ireland</t>
  </si>
  <si>
    <t>Netherlands</t>
  </si>
  <si>
    <t>Delhi</t>
  </si>
  <si>
    <t>Wankhede</t>
  </si>
  <si>
    <t>PortofSpain</t>
  </si>
  <si>
    <t>NorthSound</t>
  </si>
  <si>
    <t>Kingston</t>
  </si>
  <si>
    <t>Test</t>
  </si>
  <si>
    <t>Bridgetown</t>
  </si>
  <si>
    <t>Roseau</t>
  </si>
  <si>
    <t>Manchester</t>
  </si>
  <si>
    <t>Chester-le-Street</t>
  </si>
  <si>
    <t>Southampton</t>
  </si>
  <si>
    <t>TheOval</t>
  </si>
  <si>
    <t>Lord's</t>
  </si>
  <si>
    <t>Cardiff</t>
  </si>
  <si>
    <t>Hyderabad(Deccan)</t>
  </si>
  <si>
    <t>Cuttack</t>
  </si>
  <si>
    <t>Indore</t>
  </si>
  <si>
    <t>Melbourne</t>
  </si>
  <si>
    <t>Sydney</t>
  </si>
  <si>
    <t>Perth</t>
  </si>
  <si>
    <t>Adelaide</t>
  </si>
  <si>
    <t>Brisbane</t>
  </si>
  <si>
    <t>Hobart</t>
  </si>
  <si>
    <t>Hambantota</t>
  </si>
  <si>
    <t>Pallekele</t>
  </si>
  <si>
    <t>Afghanistan</t>
  </si>
  <si>
    <t>Pune</t>
  </si>
  <si>
    <t>Kochi</t>
  </si>
  <si>
    <t>Ranchi</t>
  </si>
  <si>
    <t>Dharamsala</t>
  </si>
  <si>
    <t>Birmingham</t>
  </si>
  <si>
    <t>Kanpur</t>
  </si>
  <si>
    <t>Napier</t>
  </si>
  <si>
    <t>Hamilton</t>
  </si>
  <si>
    <t>Auckland</t>
  </si>
  <si>
    <t>Wellington</t>
  </si>
  <si>
    <t>Fatullah</t>
  </si>
  <si>
    <t>Nottingham</t>
  </si>
  <si>
    <t>Leeds</t>
  </si>
  <si>
    <t>U.A.E.</t>
  </si>
  <si>
    <t>Galle</t>
  </si>
  <si>
    <t>Colombo(PSS)</t>
  </si>
  <si>
    <t>Colombo(SSC)</t>
  </si>
  <si>
    <t>Canberra</t>
  </si>
  <si>
    <t>GrosIslet</t>
  </si>
  <si>
    <t>Lauderhill</t>
  </si>
  <si>
    <t>Thiruvananthapuram</t>
  </si>
  <si>
    <t>Dublin(Malahide)</t>
  </si>
  <si>
    <t>Bristol</t>
  </si>
  <si>
    <t>Brabourne</t>
  </si>
  <si>
    <t>MountMaunganui</t>
  </si>
  <si>
    <t>Providence</t>
  </si>
  <si>
    <t>Christchurch</t>
  </si>
  <si>
    <t>Dubai(DSC)</t>
  </si>
  <si>
    <t>Scotland</t>
  </si>
  <si>
    <t>Paarl</t>
  </si>
  <si>
    <t>Sum of runs</t>
  </si>
  <si>
    <t>Total Run</t>
  </si>
  <si>
    <t>Sum of Match_No</t>
  </si>
  <si>
    <t>Row Labels</t>
  </si>
  <si>
    <t>Grand Total</t>
  </si>
  <si>
    <t>opponent_Team</t>
  </si>
  <si>
    <t>SL</t>
  </si>
  <si>
    <t>PAK</t>
  </si>
  <si>
    <t>WI</t>
  </si>
  <si>
    <t>AUS</t>
  </si>
  <si>
    <t>BAN</t>
  </si>
  <si>
    <t>SA</t>
  </si>
  <si>
    <t>ZIM</t>
  </si>
  <si>
    <t>NZ</t>
  </si>
  <si>
    <t>ENG</t>
  </si>
  <si>
    <t>IRE</t>
  </si>
  <si>
    <t>NED</t>
  </si>
  <si>
    <t>AFG</t>
  </si>
  <si>
    <t>UAE</t>
  </si>
  <si>
    <t>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</si>
</sst>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mm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[Virat_Data.xlsx]Calculation1111!PivotTable3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Total Run by Opponent</a:t>
            </a:r>
          </a:p>
        </c:rich>
      </c:tx>
      <c:layout>
        <c:manualLayout>
          <c:xMode val="edge"/>
          <c:yMode val="edge"/>
          <c:x val="0.26820063755006401"/>
          <c:y val="3.0701341615166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Calculation1111!$B$11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Calculation1111!$A$12:$A$26</c:f>
              <c:strCache>
                <c:ptCount val="14"/>
                <c:pt idx="0">
                  <c:v>AUS</c:v>
                </c:pt>
                <c:pt idx="1">
                  <c:v>ENG</c:v>
                </c:pt>
                <c:pt idx="2">
                  <c:v>WI</c:v>
                </c:pt>
                <c:pt idx="3">
                  <c:v>SL</c:v>
                </c:pt>
                <c:pt idx="4">
                  <c:v>SA</c:v>
                </c:pt>
                <c:pt idx="5">
                  <c:v>NZ</c:v>
                </c:pt>
                <c:pt idx="6">
                  <c:v>BAN</c:v>
                </c:pt>
                <c:pt idx="7">
                  <c:v>PAK</c:v>
                </c:pt>
                <c:pt idx="8">
                  <c:v>ZIM</c:v>
                </c:pt>
                <c:pt idx="9">
                  <c:v>AFG</c:v>
                </c:pt>
                <c:pt idx="10">
                  <c:v>IRE</c:v>
                </c:pt>
                <c:pt idx="11">
                  <c:v>UAE</c:v>
                </c:pt>
                <c:pt idx="12">
                  <c:v>NED</c:v>
                </c:pt>
                <c:pt idx="13">
                  <c:v>SCO</c:v>
                </c:pt>
              </c:strCache>
            </c:strRef>
          </c:cat>
          <c:val>
            <c:numRef>
              <c:f>Calculation1111!$B$12:$B$26</c:f>
              <c:numCache>
                <c:formatCode>General</c:formatCode>
                <c:ptCount val="14"/>
                <c:pt idx="0">
                  <c:v>4483</c:v>
                </c:pt>
                <c:pt idx="1">
                  <c:v>3903</c:v>
                </c:pt>
                <c:pt idx="2">
                  <c:v>3653</c:v>
                </c:pt>
                <c:pt idx="3">
                  <c:v>3644</c:v>
                </c:pt>
                <c:pt idx="4">
                  <c:v>2893</c:v>
                </c:pt>
                <c:pt idx="5">
                  <c:v>2555</c:v>
                </c:pt>
                <c:pt idx="6">
                  <c:v>1201</c:v>
                </c:pt>
                <c:pt idx="7">
                  <c:v>847</c:v>
                </c:pt>
                <c:pt idx="8">
                  <c:v>279</c:v>
                </c:pt>
                <c:pt idx="9">
                  <c:v>117</c:v>
                </c:pt>
                <c:pt idx="10">
                  <c:v>87</c:v>
                </c:pt>
                <c:pt idx="11">
                  <c:v>33</c:v>
                </c:pt>
                <c:pt idx="12">
                  <c:v>12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4-43B2-90ED-4129F4582C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87684272"/>
        <c:axId val="387678448"/>
        <c:axId val="232318032"/>
      </c:bar3DChart>
      <c:catAx>
        <c:axId val="38768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78448"/>
        <c:crosses val="autoZero"/>
        <c:auto val="1"/>
        <c:lblAlgn val="ctr"/>
        <c:lblOffset val="100"/>
        <c:noMultiLvlLbl val="0"/>
      </c:catAx>
      <c:valAx>
        <c:axId val="38767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84272"/>
        <c:crosses val="autoZero"/>
        <c:crossBetween val="between"/>
      </c:valAx>
      <c:serAx>
        <c:axId val="232318032"/>
        <c:scaling>
          <c:orientation val="minMax"/>
        </c:scaling>
        <c:delete val="1"/>
        <c:axPos val="b"/>
        <c:majorTickMark val="none"/>
        <c:minorTickMark val="none"/>
        <c:tickLblPos val="nextTo"/>
        <c:crossAx val="38767844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190980</xdr:colOff>
      <xdr:row>28</xdr:row>
      <xdr:rowOff>127272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34980" cy="52834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0</xdr:row>
      <xdr:rowOff>25400</xdr:rowOff>
    </xdr:from>
    <xdr:to>
      <xdr:col>7</xdr:col>
      <xdr:colOff>419100</xdr:colOff>
      <xdr:row>2</xdr:row>
      <xdr:rowOff>177800</xdr:rowOff>
    </xdr:to>
    <xdr:sp macro="" textlink="">
      <xdr:nvSpPr>
        <xdr:cNvPr id="2" name="Rounded Rectangle 1"/>
        <xdr:cNvSpPr/>
      </xdr:nvSpPr>
      <xdr:spPr>
        <a:xfrm>
          <a:off x="1225550" y="25400"/>
          <a:ext cx="3460750" cy="52070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Virat Kohli performace Dashboard</a:t>
          </a:r>
        </a:p>
      </xdr:txBody>
    </xdr:sp>
    <xdr:clientData/>
  </xdr:twoCellAnchor>
  <xdr:twoCellAnchor>
    <xdr:from>
      <xdr:col>0</xdr:col>
      <xdr:colOff>101600</xdr:colOff>
      <xdr:row>4</xdr:row>
      <xdr:rowOff>95250</xdr:rowOff>
    </xdr:from>
    <xdr:to>
      <xdr:col>2</xdr:col>
      <xdr:colOff>304800</xdr:colOff>
      <xdr:row>8</xdr:row>
      <xdr:rowOff>127000</xdr:rowOff>
    </xdr:to>
    <xdr:sp macro="" textlink="">
      <xdr:nvSpPr>
        <xdr:cNvPr id="3" name="Rounded Rectangle 2"/>
        <xdr:cNvSpPr/>
      </xdr:nvSpPr>
      <xdr:spPr>
        <a:xfrm>
          <a:off x="101600" y="831850"/>
          <a:ext cx="1422400" cy="7683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228600</xdr:colOff>
      <xdr:row>6</xdr:row>
      <xdr:rowOff>146050</xdr:rowOff>
    </xdr:from>
    <xdr:to>
      <xdr:col>2</xdr:col>
      <xdr:colOff>63500</xdr:colOff>
      <xdr:row>8</xdr:row>
      <xdr:rowOff>88900</xdr:rowOff>
    </xdr:to>
    <xdr:sp macro="" textlink="Calculation1111!B4">
      <xdr:nvSpPr>
        <xdr:cNvPr id="4" name="TextBox 3"/>
        <xdr:cNvSpPr txBox="1"/>
      </xdr:nvSpPr>
      <xdr:spPr>
        <a:xfrm>
          <a:off x="228600" y="1250950"/>
          <a:ext cx="1054100" cy="31115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13FD86F-4B02-4210-A8D1-EFE3BF177642}" type="TxLink">
            <a:rPr lang="en-US" sz="1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23709</a:t>
          </a:fld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241300</xdr:colOff>
      <xdr:row>4</xdr:row>
      <xdr:rowOff>139700</xdr:rowOff>
    </xdr:from>
    <xdr:to>
      <xdr:col>2</xdr:col>
      <xdr:colOff>76200</xdr:colOff>
      <xdr:row>6</xdr:row>
      <xdr:rowOff>82550</xdr:rowOff>
    </xdr:to>
    <xdr:sp macro="" textlink="">
      <xdr:nvSpPr>
        <xdr:cNvPr id="5" name="TextBox 4"/>
        <xdr:cNvSpPr txBox="1"/>
      </xdr:nvSpPr>
      <xdr:spPr>
        <a:xfrm>
          <a:off x="241300" y="876300"/>
          <a:ext cx="1054100" cy="31115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Total</a:t>
          </a: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Runs</a:t>
          </a:r>
          <a:endParaRPr lang="en-US" sz="1200" b="1" i="0" u="none" strike="noStrike">
            <a:solidFill>
              <a:srgbClr val="000000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0</xdr:colOff>
      <xdr:row>4</xdr:row>
      <xdr:rowOff>76200</xdr:rowOff>
    </xdr:from>
    <xdr:to>
      <xdr:col>5</xdr:col>
      <xdr:colOff>203200</xdr:colOff>
      <xdr:row>8</xdr:row>
      <xdr:rowOff>107950</xdr:rowOff>
    </xdr:to>
    <xdr:sp macro="" textlink="">
      <xdr:nvSpPr>
        <xdr:cNvPr id="6" name="Rounded Rectangle 5"/>
        <xdr:cNvSpPr/>
      </xdr:nvSpPr>
      <xdr:spPr>
        <a:xfrm>
          <a:off x="1828800" y="812800"/>
          <a:ext cx="1422400" cy="7683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127000</xdr:colOff>
      <xdr:row>6</xdr:row>
      <xdr:rowOff>127000</xdr:rowOff>
    </xdr:from>
    <xdr:to>
      <xdr:col>4</xdr:col>
      <xdr:colOff>571500</xdr:colOff>
      <xdr:row>8</xdr:row>
      <xdr:rowOff>69850</xdr:rowOff>
    </xdr:to>
    <xdr:sp macro="" textlink="Calculation1111!B8">
      <xdr:nvSpPr>
        <xdr:cNvPr id="7" name="TextBox 6"/>
        <xdr:cNvSpPr txBox="1"/>
      </xdr:nvSpPr>
      <xdr:spPr>
        <a:xfrm>
          <a:off x="1955800" y="1231900"/>
          <a:ext cx="1054100" cy="31115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F42BB9F-0FC3-4E75-9341-B62181E7A020}" type="TxLink">
            <a:rPr lang="en-US" sz="1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133386</a:t>
          </a:fld>
          <a:endParaRPr lang="en-IN" sz="1200" b="1" i="0" u="none" strike="noStrike">
            <a:solidFill>
              <a:srgbClr val="000000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82550</xdr:colOff>
      <xdr:row>4</xdr:row>
      <xdr:rowOff>120650</xdr:rowOff>
    </xdr:from>
    <xdr:to>
      <xdr:col>5</xdr:col>
      <xdr:colOff>50800</xdr:colOff>
      <xdr:row>6</xdr:row>
      <xdr:rowOff>44450</xdr:rowOff>
    </xdr:to>
    <xdr:sp macro="" textlink="">
      <xdr:nvSpPr>
        <xdr:cNvPr id="8" name="TextBox 7"/>
        <xdr:cNvSpPr txBox="1"/>
      </xdr:nvSpPr>
      <xdr:spPr>
        <a:xfrm>
          <a:off x="1911350" y="857250"/>
          <a:ext cx="1187450" cy="292100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Total</a:t>
          </a: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 Matches</a:t>
          </a:r>
          <a:endParaRPr lang="en-US" sz="1200" b="1" i="0" u="none" strike="noStrike">
            <a:solidFill>
              <a:srgbClr val="000000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9</xdr:row>
      <xdr:rowOff>114301</xdr:rowOff>
    </xdr:from>
    <xdr:to>
      <xdr:col>6</xdr:col>
      <xdr:colOff>19049</xdr:colOff>
      <xdr:row>18</xdr:row>
      <xdr:rowOff>139700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899.436258912036" createdVersion="6" refreshedVersion="6" minRefreshableVersion="3" recordCount="516">
  <cacheSource type="worksheet">
    <worksheetSource ref="A1:L517" sheet="Data set"/>
  </cacheSource>
  <cacheFields count="12">
    <cacheField name="index" numFmtId="0">
      <sharedItems containsSemiMixedTypes="0" containsString="0" containsNumber="1" containsInteger="1" minValue="0" maxValue="539"/>
    </cacheField>
    <cacheField name="runs" numFmtId="0">
      <sharedItems containsSemiMixedTypes="0" containsString="0" containsNumber="1" containsInteger="1" minValue="0" maxValue="254"/>
    </cacheField>
    <cacheField name="opponent" numFmtId="0">
      <sharedItems count="14">
        <s v="SriLanka"/>
        <s v="Pakistan"/>
        <s v="WestIndies"/>
        <s v="Australia"/>
        <s v="Bangladesh"/>
        <s v="SouthAfrica"/>
        <s v="Zimbabwe"/>
        <s v="NewZealand"/>
        <s v="England"/>
        <s v="Ireland"/>
        <s v="Netherlands"/>
        <s v="Afghanistan"/>
        <s v="U.A.E."/>
        <s v="Scotland"/>
      </sharedItems>
    </cacheField>
    <cacheField name="opponent_Team" numFmtId="0">
      <sharedItems count="14">
        <s v="SL"/>
        <s v="PAK"/>
        <s v="WI"/>
        <s v="AUS"/>
        <s v="BAN"/>
        <s v="SA"/>
        <s v="ZIM"/>
        <s v="NZ"/>
        <s v="ENG"/>
        <s v="IRE"/>
        <s v="NED"/>
        <s v="AFG"/>
        <s v="UAE"/>
        <s v="SCO"/>
      </sharedItems>
    </cacheField>
    <cacheField name="ground" numFmtId="0">
      <sharedItems/>
    </cacheField>
    <cacheField name="date" numFmtId="164">
      <sharedItems containsSemiMixedTypes="0" containsNonDate="0" containsDate="1" containsString="0" minDate="2008-08-18T00:00:00" maxDate="2022-07-15T00:00:00"/>
    </cacheField>
    <cacheField name="Quarter " numFmtId="0">
      <sharedItems/>
    </cacheField>
    <cacheField name="Month" numFmtId="165">
      <sharedItems containsSemiMixedTypes="0" containsNonDate="0" containsDate="1" containsString="0" minDate="2008-08-18T00:00:00" maxDate="2022-07-15T00:00:00"/>
    </cacheField>
    <cacheField name="Year" numFmtId="49">
      <sharedItems containsSemiMixedTypes="0" containsString="0" containsNumber="1" containsInteger="1" minValue="2008" maxValue="2022"/>
    </cacheField>
    <cacheField name="match" numFmtId="0">
      <sharedItems/>
    </cacheField>
    <cacheField name="Match_No" numFmtId="0">
      <sharedItems containsSemiMixedTypes="0" containsString="0" containsNumber="1" containsInteger="1" minValue="1" maxValue="516"/>
    </cacheField>
    <cacheField name="total" numFmtId="0">
      <sharedItems containsSemiMixedTypes="0" containsString="0" containsNumber="1" containsInteger="1" minValue="12" maxValue="23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6">
  <r>
    <n v="0"/>
    <n v="12"/>
    <x v="0"/>
    <x v="0"/>
    <s v="Dambulla"/>
    <d v="2008-08-18T00:00:00"/>
    <s v="Qtr 3"/>
    <d v="2008-08-18T00:00:00"/>
    <n v="2008"/>
    <s v="ODI"/>
    <n v="1"/>
    <n v="12"/>
  </r>
  <r>
    <n v="1"/>
    <n v="37"/>
    <x v="0"/>
    <x v="0"/>
    <s v="Dambulla"/>
    <d v="2008-08-20T00:00:00"/>
    <s v="Qtr 3"/>
    <d v="2008-08-20T00:00:00"/>
    <n v="2008"/>
    <s v="ODI"/>
    <n v="2"/>
    <n v="49"/>
  </r>
  <r>
    <n v="2"/>
    <n v="25"/>
    <x v="0"/>
    <x v="0"/>
    <s v="Colombo(RPS)"/>
    <d v="2008-08-24T00:00:00"/>
    <s v="Qtr 3"/>
    <d v="2008-08-24T00:00:00"/>
    <n v="2008"/>
    <s v="ODI"/>
    <n v="3"/>
    <n v="74"/>
  </r>
  <r>
    <n v="3"/>
    <n v="54"/>
    <x v="0"/>
    <x v="0"/>
    <s v="Colombo(RPS)"/>
    <d v="2008-08-27T00:00:00"/>
    <s v="Qtr 3"/>
    <d v="2008-08-27T00:00:00"/>
    <n v="2008"/>
    <s v="ODI"/>
    <n v="4"/>
    <n v="128"/>
  </r>
  <r>
    <n v="4"/>
    <n v="31"/>
    <x v="0"/>
    <x v="0"/>
    <s v="Colombo(RPS)"/>
    <d v="2008-08-29T00:00:00"/>
    <s v="Qtr 3"/>
    <d v="2008-08-29T00:00:00"/>
    <n v="2008"/>
    <s v="ODI"/>
    <n v="5"/>
    <n v="159"/>
  </r>
  <r>
    <n v="5"/>
    <n v="2"/>
    <x v="0"/>
    <x v="0"/>
    <s v="Colombo(RPS)"/>
    <d v="2009-09-14T00:00:00"/>
    <s v="Qtr 3"/>
    <d v="2009-09-14T00:00:00"/>
    <n v="2009"/>
    <s v="ODI"/>
    <n v="6"/>
    <n v="161"/>
  </r>
  <r>
    <n v="6"/>
    <n v="16"/>
    <x v="1"/>
    <x v="1"/>
    <s v="Centurion"/>
    <d v="2009-09-26T00:00:00"/>
    <s v="Qtr 3"/>
    <d v="2009-09-26T00:00:00"/>
    <n v="2009"/>
    <s v="ODI"/>
    <n v="7"/>
    <n v="177"/>
  </r>
  <r>
    <n v="8"/>
    <n v="79"/>
    <x v="2"/>
    <x v="2"/>
    <s v="Johannesburg"/>
    <d v="2009-09-30T00:00:00"/>
    <s v="Qtr 3"/>
    <d v="2009-09-30T00:00:00"/>
    <n v="2009"/>
    <s v="ODI"/>
    <n v="8"/>
    <n v="256"/>
  </r>
  <r>
    <n v="9"/>
    <n v="30"/>
    <x v="3"/>
    <x v="3"/>
    <s v="Vadodara"/>
    <d v="2009-10-25T00:00:00"/>
    <s v="Qtr 4"/>
    <d v="2009-10-25T00:00:00"/>
    <n v="2009"/>
    <s v="ODI"/>
    <n v="9"/>
    <n v="286"/>
  </r>
  <r>
    <n v="10"/>
    <n v="10"/>
    <x v="3"/>
    <x v="3"/>
    <s v="Mohali"/>
    <d v="2009-11-02T00:00:00"/>
    <s v="Qtr 4"/>
    <d v="2009-11-02T00:00:00"/>
    <n v="2009"/>
    <s v="ODI"/>
    <n v="10"/>
    <n v="296"/>
  </r>
  <r>
    <n v="11"/>
    <n v="27"/>
    <x v="0"/>
    <x v="0"/>
    <s v="Rajkot"/>
    <d v="2009-12-15T00:00:00"/>
    <s v="Qtr 4"/>
    <d v="2009-12-15T00:00:00"/>
    <n v="2009"/>
    <s v="ODI"/>
    <n v="11"/>
    <n v="323"/>
  </r>
  <r>
    <n v="12"/>
    <n v="54"/>
    <x v="0"/>
    <x v="0"/>
    <s v="Nagpur"/>
    <d v="2009-12-18T00:00:00"/>
    <s v="Qtr 4"/>
    <d v="2009-12-18T00:00:00"/>
    <n v="2009"/>
    <s v="ODI"/>
    <n v="12"/>
    <n v="377"/>
  </r>
  <r>
    <n v="13"/>
    <n v="107"/>
    <x v="0"/>
    <x v="0"/>
    <s v="Kolkata"/>
    <d v="2009-12-24T00:00:00"/>
    <s v="Qtr 4"/>
    <d v="2009-12-24T00:00:00"/>
    <n v="2009"/>
    <s v="ODI"/>
    <n v="13"/>
    <n v="484"/>
  </r>
  <r>
    <n v="15"/>
    <n v="9"/>
    <x v="0"/>
    <x v="0"/>
    <s v="Mirpur"/>
    <d v="2010-01-05T00:00:00"/>
    <s v="Qtr 1"/>
    <d v="2010-01-05T00:00:00"/>
    <n v="2010"/>
    <s v="ODI"/>
    <n v="14"/>
    <n v="493"/>
  </r>
  <r>
    <n v="16"/>
    <n v="91"/>
    <x v="4"/>
    <x v="4"/>
    <s v="Mirpur"/>
    <d v="2010-01-07T00:00:00"/>
    <s v="Qtr 1"/>
    <d v="2010-01-07T00:00:00"/>
    <n v="2010"/>
    <s v="ODI"/>
    <n v="15"/>
    <n v="584"/>
  </r>
  <r>
    <n v="17"/>
    <n v="71"/>
    <x v="0"/>
    <x v="0"/>
    <s v="Mirpur"/>
    <d v="2010-01-10T00:00:00"/>
    <s v="Qtr 1"/>
    <d v="2010-01-10T00:00:00"/>
    <n v="2010"/>
    <s v="ODI"/>
    <n v="16"/>
    <n v="655"/>
  </r>
  <r>
    <n v="18"/>
    <n v="102"/>
    <x v="4"/>
    <x v="4"/>
    <s v="Mirpur"/>
    <d v="2010-01-11T00:00:00"/>
    <s v="Qtr 1"/>
    <d v="2010-01-11T00:00:00"/>
    <n v="2010"/>
    <s v="ODI"/>
    <n v="17"/>
    <n v="757"/>
  </r>
  <r>
    <n v="19"/>
    <n v="2"/>
    <x v="0"/>
    <x v="0"/>
    <s v="Mirpur"/>
    <d v="2010-01-13T00:00:00"/>
    <s v="Qtr 1"/>
    <d v="2010-01-13T00:00:00"/>
    <n v="2010"/>
    <s v="ODI"/>
    <n v="18"/>
    <n v="759"/>
  </r>
  <r>
    <n v="20"/>
    <n v="31"/>
    <x v="5"/>
    <x v="5"/>
    <s v="Jaipur"/>
    <d v="2010-02-21T00:00:00"/>
    <s v="Qtr 1"/>
    <d v="2010-02-21T00:00:00"/>
    <n v="2010"/>
    <s v="ODI"/>
    <n v="19"/>
    <n v="790"/>
  </r>
  <r>
    <n v="22"/>
    <n v="57"/>
    <x v="5"/>
    <x v="5"/>
    <s v="Ahmedabad"/>
    <d v="2010-02-27T00:00:00"/>
    <s v="Qtr 1"/>
    <d v="2010-02-27T00:00:00"/>
    <n v="2010"/>
    <s v="ODI"/>
    <n v="20"/>
    <n v="847"/>
  </r>
  <r>
    <n v="23"/>
    <n v="0"/>
    <x v="6"/>
    <x v="6"/>
    <s v="Bulawayo"/>
    <d v="2010-05-28T00:00:00"/>
    <s v="Qtr 2"/>
    <d v="2010-05-28T00:00:00"/>
    <n v="2010"/>
    <s v="ODI"/>
    <n v="21"/>
    <n v="847"/>
  </r>
  <r>
    <n v="24"/>
    <n v="82"/>
    <x v="0"/>
    <x v="0"/>
    <s v="Bulawayo"/>
    <d v="2010-05-30T00:00:00"/>
    <s v="Qtr 2"/>
    <d v="2010-05-30T00:00:00"/>
    <n v="2010"/>
    <s v="ODI"/>
    <n v="22"/>
    <n v="929"/>
  </r>
  <r>
    <n v="25"/>
    <n v="18"/>
    <x v="6"/>
    <x v="6"/>
    <s v="Harare"/>
    <d v="2010-06-03T00:00:00"/>
    <s v="Qtr 2"/>
    <d v="2010-06-03T00:00:00"/>
    <n v="2010"/>
    <s v="ODI"/>
    <n v="23"/>
    <n v="947"/>
  </r>
  <r>
    <n v="26"/>
    <n v="68"/>
    <x v="0"/>
    <x v="0"/>
    <s v="Harare"/>
    <d v="2010-06-05T00:00:00"/>
    <s v="Qtr 2"/>
    <d v="2010-06-05T00:00:00"/>
    <n v="2010"/>
    <s v="ODI"/>
    <n v="24"/>
    <n v="1015"/>
  </r>
  <r>
    <n v="27"/>
    <n v="26"/>
    <x v="6"/>
    <x v="6"/>
    <s v="Harare"/>
    <d v="2010-06-12T00:00:00"/>
    <s v="Qtr 2"/>
    <d v="2010-06-12T00:00:00"/>
    <n v="2010"/>
    <s v="T20"/>
    <n v="25"/>
    <n v="1041"/>
  </r>
  <r>
    <n v="29"/>
    <n v="11"/>
    <x v="4"/>
    <x v="4"/>
    <s v="Dambulla"/>
    <d v="2010-06-16T00:00:00"/>
    <s v="Qtr 2"/>
    <d v="2010-06-16T00:00:00"/>
    <n v="2010"/>
    <s v="ODI"/>
    <n v="26"/>
    <n v="1052"/>
  </r>
  <r>
    <n v="30"/>
    <n v="18"/>
    <x v="1"/>
    <x v="1"/>
    <s v="Dambulla"/>
    <d v="2010-06-19T00:00:00"/>
    <s v="Qtr 2"/>
    <d v="2010-06-19T00:00:00"/>
    <n v="2010"/>
    <s v="ODI"/>
    <n v="27"/>
    <n v="1070"/>
  </r>
  <r>
    <n v="31"/>
    <n v="10"/>
    <x v="0"/>
    <x v="0"/>
    <s v="Dambulla"/>
    <d v="2010-06-22T00:00:00"/>
    <s v="Qtr 2"/>
    <d v="2010-06-22T00:00:00"/>
    <n v="2010"/>
    <s v="ODI"/>
    <n v="28"/>
    <n v="1080"/>
  </r>
  <r>
    <n v="32"/>
    <n v="28"/>
    <x v="0"/>
    <x v="0"/>
    <s v="Dambulla"/>
    <d v="2010-06-24T00:00:00"/>
    <s v="Qtr 2"/>
    <d v="2010-06-24T00:00:00"/>
    <n v="2010"/>
    <s v="ODI"/>
    <n v="29"/>
    <n v="1108"/>
  </r>
  <r>
    <n v="33"/>
    <n v="0"/>
    <x v="0"/>
    <x v="0"/>
    <s v="Dambulla"/>
    <d v="2010-08-16T00:00:00"/>
    <s v="Qtr 3"/>
    <d v="2010-08-16T00:00:00"/>
    <n v="2010"/>
    <s v="ODI"/>
    <n v="30"/>
    <n v="1108"/>
  </r>
  <r>
    <n v="34"/>
    <n v="8"/>
    <x v="7"/>
    <x v="7"/>
    <s v="Dambulla"/>
    <d v="2010-08-25T00:00:00"/>
    <s v="Qtr 3"/>
    <d v="2010-08-25T00:00:00"/>
    <n v="2010"/>
    <s v="ODI"/>
    <n v="31"/>
    <n v="1116"/>
  </r>
  <r>
    <n v="35"/>
    <n v="37"/>
    <x v="0"/>
    <x v="0"/>
    <s v="Dambulla"/>
    <d v="2010-08-28T00:00:00"/>
    <s v="Qtr 3"/>
    <d v="2010-08-28T00:00:00"/>
    <n v="2010"/>
    <s v="ODI"/>
    <n v="32"/>
    <n v="1153"/>
  </r>
  <r>
    <n v="36"/>
    <n v="118"/>
    <x v="3"/>
    <x v="3"/>
    <s v="Visakhapatnam"/>
    <d v="2010-10-20T00:00:00"/>
    <s v="Qtr 4"/>
    <d v="2010-10-20T00:00:00"/>
    <n v="2010"/>
    <s v="ODI"/>
    <n v="33"/>
    <n v="1271"/>
  </r>
  <r>
    <n v="37"/>
    <n v="105"/>
    <x v="7"/>
    <x v="7"/>
    <s v="Guwahati"/>
    <d v="2010-11-28T00:00:00"/>
    <s v="Qtr 4"/>
    <d v="2010-11-28T00:00:00"/>
    <n v="2010"/>
    <s v="ODI"/>
    <n v="34"/>
    <n v="1376"/>
  </r>
  <r>
    <n v="38"/>
    <n v="64"/>
    <x v="7"/>
    <x v="7"/>
    <s v="Jaipur"/>
    <d v="2010-12-01T00:00:00"/>
    <s v="Qtr 4"/>
    <d v="2010-12-01T00:00:00"/>
    <n v="2010"/>
    <s v="ODI"/>
    <n v="35"/>
    <n v="1440"/>
  </r>
  <r>
    <n v="39"/>
    <n v="63"/>
    <x v="7"/>
    <x v="7"/>
    <s v="Vadodara"/>
    <d v="2010-12-04T00:00:00"/>
    <s v="Qtr 4"/>
    <d v="2010-12-04T00:00:00"/>
    <n v="2010"/>
    <s v="ODI"/>
    <n v="36"/>
    <n v="1503"/>
  </r>
  <r>
    <n v="40"/>
    <n v="0"/>
    <x v="7"/>
    <x v="7"/>
    <s v="Bengaluru"/>
    <d v="2010-12-07T00:00:00"/>
    <s v="Qtr 4"/>
    <d v="2010-12-07T00:00:00"/>
    <n v="2010"/>
    <s v="ODI"/>
    <n v="37"/>
    <n v="1503"/>
  </r>
  <r>
    <n v="41"/>
    <n v="2"/>
    <x v="7"/>
    <x v="7"/>
    <s v="Chennai"/>
    <d v="2010-12-10T00:00:00"/>
    <s v="Qtr 4"/>
    <d v="2010-12-10T00:00:00"/>
    <n v="2010"/>
    <s v="ODI"/>
    <n v="38"/>
    <n v="1505"/>
  </r>
  <r>
    <n v="42"/>
    <n v="28"/>
    <x v="5"/>
    <x v="5"/>
    <s v="Durban"/>
    <d v="2011-01-09T00:00:00"/>
    <s v="Qtr 1"/>
    <d v="2011-01-09T00:00:00"/>
    <n v="2011"/>
    <s v="T20"/>
    <n v="39"/>
    <n v="1533"/>
  </r>
  <r>
    <n v="43"/>
    <n v="54"/>
    <x v="5"/>
    <x v="5"/>
    <s v="Durban"/>
    <d v="2011-01-12T00:00:00"/>
    <s v="Qtr 1"/>
    <d v="2011-01-12T00:00:00"/>
    <n v="2011"/>
    <s v="ODI"/>
    <n v="40"/>
    <n v="1587"/>
  </r>
  <r>
    <n v="44"/>
    <n v="22"/>
    <x v="5"/>
    <x v="5"/>
    <s v="Johannesburg"/>
    <d v="2011-01-15T00:00:00"/>
    <s v="Qtr 1"/>
    <d v="2011-01-15T00:00:00"/>
    <n v="2011"/>
    <s v="ODI"/>
    <n v="41"/>
    <n v="1609"/>
  </r>
  <r>
    <n v="45"/>
    <n v="28"/>
    <x v="5"/>
    <x v="5"/>
    <s v="CapeTown"/>
    <d v="2011-01-18T00:00:00"/>
    <s v="Qtr 1"/>
    <d v="2011-01-18T00:00:00"/>
    <n v="2011"/>
    <s v="ODI"/>
    <n v="42"/>
    <n v="1637"/>
  </r>
  <r>
    <n v="46"/>
    <n v="87"/>
    <x v="5"/>
    <x v="5"/>
    <s v="Gqeberha"/>
    <d v="2011-01-21T00:00:00"/>
    <s v="Qtr 1"/>
    <d v="2011-01-21T00:00:00"/>
    <n v="2011"/>
    <s v="ODI"/>
    <n v="43"/>
    <n v="1724"/>
  </r>
  <r>
    <n v="47"/>
    <n v="2"/>
    <x v="5"/>
    <x v="5"/>
    <s v="Centurion"/>
    <d v="2011-01-23T00:00:00"/>
    <s v="Qtr 1"/>
    <d v="2011-01-23T00:00:00"/>
    <n v="2011"/>
    <s v="ODI"/>
    <n v="44"/>
    <n v="1726"/>
  </r>
  <r>
    <n v="48"/>
    <n v="100"/>
    <x v="4"/>
    <x v="4"/>
    <s v="Mirpur"/>
    <d v="2011-02-19T00:00:00"/>
    <s v="Qtr 1"/>
    <d v="2011-02-19T00:00:00"/>
    <n v="2011"/>
    <s v="ODI"/>
    <n v="45"/>
    <n v="1826"/>
  </r>
  <r>
    <n v="49"/>
    <n v="8"/>
    <x v="8"/>
    <x v="8"/>
    <s v="Bengaluru"/>
    <d v="2011-02-27T00:00:00"/>
    <s v="Qtr 1"/>
    <d v="2011-02-27T00:00:00"/>
    <n v="2011"/>
    <s v="ODI"/>
    <n v="46"/>
    <n v="1834"/>
  </r>
  <r>
    <n v="50"/>
    <n v="34"/>
    <x v="9"/>
    <x v="9"/>
    <s v="Bengaluru"/>
    <d v="2011-03-06T00:00:00"/>
    <s v="Qtr 1"/>
    <d v="2011-03-06T00:00:00"/>
    <n v="2011"/>
    <s v="ODI"/>
    <n v="47"/>
    <n v="1868"/>
  </r>
  <r>
    <n v="51"/>
    <n v="12"/>
    <x v="10"/>
    <x v="10"/>
    <s v="Delhi"/>
    <d v="2011-03-09T00:00:00"/>
    <s v="Qtr 1"/>
    <d v="2011-03-09T00:00:00"/>
    <n v="2011"/>
    <s v="ODI"/>
    <n v="48"/>
    <n v="1880"/>
  </r>
  <r>
    <n v="52"/>
    <n v="1"/>
    <x v="5"/>
    <x v="5"/>
    <s v="Nagpur"/>
    <d v="2011-03-12T00:00:00"/>
    <s v="Qtr 1"/>
    <d v="2011-03-12T00:00:00"/>
    <n v="2011"/>
    <s v="ODI"/>
    <n v="49"/>
    <n v="1881"/>
  </r>
  <r>
    <n v="53"/>
    <n v="59"/>
    <x v="2"/>
    <x v="2"/>
    <s v="Chennai"/>
    <d v="2011-03-20T00:00:00"/>
    <s v="Qtr 1"/>
    <d v="2011-03-20T00:00:00"/>
    <n v="2011"/>
    <s v="ODI"/>
    <n v="50"/>
    <n v="1940"/>
  </r>
  <r>
    <n v="54"/>
    <n v="24"/>
    <x v="3"/>
    <x v="3"/>
    <s v="Ahmedabad"/>
    <d v="2011-03-24T00:00:00"/>
    <s v="Qtr 1"/>
    <d v="2011-03-24T00:00:00"/>
    <n v="2011"/>
    <s v="ODI"/>
    <n v="51"/>
    <n v="1964"/>
  </r>
  <r>
    <n v="55"/>
    <n v="9"/>
    <x v="1"/>
    <x v="1"/>
    <s v="Mohali"/>
    <d v="2011-03-30T00:00:00"/>
    <s v="Qtr 1"/>
    <d v="2011-03-30T00:00:00"/>
    <n v="2011"/>
    <s v="ODI"/>
    <n v="52"/>
    <n v="1973"/>
  </r>
  <r>
    <n v="56"/>
    <n v="35"/>
    <x v="0"/>
    <x v="0"/>
    <s v="Wankhede"/>
    <d v="2011-04-02T00:00:00"/>
    <s v="Qtr 2"/>
    <d v="2011-04-02T00:00:00"/>
    <n v="2011"/>
    <s v="ODI"/>
    <n v="53"/>
    <n v="2008"/>
  </r>
  <r>
    <n v="57"/>
    <n v="14"/>
    <x v="2"/>
    <x v="2"/>
    <s v="PortofSpain"/>
    <d v="2011-06-04T00:00:00"/>
    <s v="Qtr 2"/>
    <d v="2011-06-04T00:00:00"/>
    <n v="2011"/>
    <s v="T20"/>
    <n v="54"/>
    <n v="2022"/>
  </r>
  <r>
    <n v="58"/>
    <n v="2"/>
    <x v="2"/>
    <x v="2"/>
    <s v="PortofSpain"/>
    <d v="2011-06-06T00:00:00"/>
    <s v="Qtr 2"/>
    <d v="2011-06-06T00:00:00"/>
    <n v="2011"/>
    <s v="ODI"/>
    <n v="55"/>
    <n v="2024"/>
  </r>
  <r>
    <n v="59"/>
    <n v="81"/>
    <x v="2"/>
    <x v="2"/>
    <s v="PortofSpain"/>
    <d v="2011-06-08T00:00:00"/>
    <s v="Qtr 2"/>
    <d v="2011-06-08T00:00:00"/>
    <n v="2011"/>
    <s v="ODI"/>
    <n v="56"/>
    <n v="2105"/>
  </r>
  <r>
    <n v="60"/>
    <n v="0"/>
    <x v="2"/>
    <x v="2"/>
    <s v="NorthSound"/>
    <d v="2011-06-11T00:00:00"/>
    <s v="Qtr 2"/>
    <d v="2011-06-11T00:00:00"/>
    <n v="2011"/>
    <s v="ODI"/>
    <n v="57"/>
    <n v="2105"/>
  </r>
  <r>
    <n v="61"/>
    <n v="22"/>
    <x v="2"/>
    <x v="2"/>
    <s v="NorthSound"/>
    <d v="2011-06-13T00:00:00"/>
    <s v="Qtr 2"/>
    <d v="2011-06-13T00:00:00"/>
    <n v="2011"/>
    <s v="ODI"/>
    <n v="58"/>
    <n v="2127"/>
  </r>
  <r>
    <n v="62"/>
    <n v="94"/>
    <x v="2"/>
    <x v="2"/>
    <s v="Kingston"/>
    <d v="2011-06-16T00:00:00"/>
    <s v="Qtr 2"/>
    <d v="2011-06-16T00:00:00"/>
    <n v="2011"/>
    <s v="ODI"/>
    <n v="59"/>
    <n v="2221"/>
  </r>
  <r>
    <n v="63"/>
    <n v="4"/>
    <x v="2"/>
    <x v="2"/>
    <s v="Kingston"/>
    <d v="2011-06-20T00:00:00"/>
    <s v="Qtr 2"/>
    <d v="2011-06-20T00:00:00"/>
    <n v="2011"/>
    <s v="Test"/>
    <n v="60"/>
    <n v="2225"/>
  </r>
  <r>
    <n v="64"/>
    <n v="15"/>
    <x v="2"/>
    <x v="2"/>
    <s v="Kingston"/>
    <d v="2011-06-20T00:00:00"/>
    <s v="Qtr 2"/>
    <d v="2011-06-20T00:00:00"/>
    <n v="2011"/>
    <s v="Test"/>
    <n v="61"/>
    <n v="2240"/>
  </r>
  <r>
    <n v="65"/>
    <n v="0"/>
    <x v="2"/>
    <x v="2"/>
    <s v="Bridgetown"/>
    <d v="2011-06-28T00:00:00"/>
    <s v="Qtr 2"/>
    <d v="2011-06-28T00:00:00"/>
    <n v="2011"/>
    <s v="Test"/>
    <n v="62"/>
    <n v="2240"/>
  </r>
  <r>
    <n v="66"/>
    <n v="27"/>
    <x v="2"/>
    <x v="2"/>
    <s v="Bridgetown"/>
    <d v="2011-06-28T00:00:00"/>
    <s v="Qtr 2"/>
    <d v="2011-06-28T00:00:00"/>
    <n v="2011"/>
    <s v="Test"/>
    <n v="63"/>
    <n v="2267"/>
  </r>
  <r>
    <n v="67"/>
    <n v="30"/>
    <x v="2"/>
    <x v="2"/>
    <s v="Roseau"/>
    <d v="2011-07-06T00:00:00"/>
    <s v="Qtr 3"/>
    <d v="2011-07-06T00:00:00"/>
    <n v="2011"/>
    <s v="Test"/>
    <n v="64"/>
    <n v="2297"/>
  </r>
  <r>
    <n v="69"/>
    <n v="4"/>
    <x v="8"/>
    <x v="8"/>
    <s v="Manchester"/>
    <d v="2011-08-31T00:00:00"/>
    <s v="Qtr 3"/>
    <d v="2011-08-31T00:00:00"/>
    <n v="2011"/>
    <s v="T20"/>
    <n v="65"/>
    <n v="2301"/>
  </r>
  <r>
    <n v="70"/>
    <n v="55"/>
    <x v="8"/>
    <x v="8"/>
    <s v="Chester-le-Street"/>
    <d v="2011-09-03T00:00:00"/>
    <s v="Qtr 3"/>
    <d v="2011-09-03T00:00:00"/>
    <n v="2011"/>
    <s v="ODI"/>
    <n v="66"/>
    <n v="2356"/>
  </r>
  <r>
    <n v="71"/>
    <n v="9"/>
    <x v="8"/>
    <x v="8"/>
    <s v="Southampton"/>
    <d v="2011-09-06T00:00:00"/>
    <s v="Qtr 3"/>
    <d v="2011-09-06T00:00:00"/>
    <n v="2011"/>
    <s v="ODI"/>
    <n v="67"/>
    <n v="2365"/>
  </r>
  <r>
    <n v="72"/>
    <n v="7"/>
    <x v="8"/>
    <x v="8"/>
    <s v="TheOval"/>
    <d v="2011-09-09T00:00:00"/>
    <s v="Qtr 3"/>
    <d v="2011-09-09T00:00:00"/>
    <n v="2011"/>
    <s v="ODI"/>
    <n v="68"/>
    <n v="2372"/>
  </r>
  <r>
    <n v="73"/>
    <n v="16"/>
    <x v="8"/>
    <x v="8"/>
    <s v="Lord's"/>
    <d v="2011-09-11T00:00:00"/>
    <s v="Qtr 3"/>
    <d v="2011-09-11T00:00:00"/>
    <n v="2011"/>
    <s v="ODI"/>
    <n v="69"/>
    <n v="2388"/>
  </r>
  <r>
    <n v="74"/>
    <n v="107"/>
    <x v="8"/>
    <x v="8"/>
    <s v="Cardiff"/>
    <d v="2011-09-16T00:00:00"/>
    <s v="Qtr 3"/>
    <d v="2011-09-16T00:00:00"/>
    <n v="2011"/>
    <s v="ODI"/>
    <n v="70"/>
    <n v="2495"/>
  </r>
  <r>
    <n v="75"/>
    <n v="37"/>
    <x v="8"/>
    <x v="8"/>
    <s v="Hyderabad(Deccan)"/>
    <d v="2011-10-14T00:00:00"/>
    <s v="Qtr 4"/>
    <d v="2011-10-14T00:00:00"/>
    <n v="2011"/>
    <s v="ODI"/>
    <n v="71"/>
    <n v="2532"/>
  </r>
  <r>
    <n v="76"/>
    <n v="112"/>
    <x v="8"/>
    <x v="8"/>
    <s v="Delhi"/>
    <d v="2011-10-17T00:00:00"/>
    <s v="Qtr 4"/>
    <d v="2011-10-17T00:00:00"/>
    <n v="2011"/>
    <s v="ODI"/>
    <n v="72"/>
    <n v="2644"/>
  </r>
  <r>
    <n v="77"/>
    <n v="35"/>
    <x v="8"/>
    <x v="8"/>
    <s v="Mohali"/>
    <d v="2011-10-20T00:00:00"/>
    <s v="Qtr 4"/>
    <d v="2011-10-20T00:00:00"/>
    <n v="2011"/>
    <s v="ODI"/>
    <n v="73"/>
    <n v="2679"/>
  </r>
  <r>
    <n v="78"/>
    <n v="86"/>
    <x v="8"/>
    <x v="8"/>
    <s v="Wankhede"/>
    <d v="2011-10-23T00:00:00"/>
    <s v="Qtr 4"/>
    <d v="2011-10-23T00:00:00"/>
    <n v="2011"/>
    <s v="ODI"/>
    <n v="74"/>
    <n v="2765"/>
  </r>
  <r>
    <n v="79"/>
    <n v="0"/>
    <x v="8"/>
    <x v="8"/>
    <s v="Kolkata"/>
    <d v="2011-10-25T00:00:00"/>
    <s v="Qtr 4"/>
    <d v="2011-10-25T00:00:00"/>
    <n v="2011"/>
    <s v="ODI"/>
    <n v="75"/>
    <n v="2765"/>
  </r>
  <r>
    <n v="80"/>
    <n v="15"/>
    <x v="8"/>
    <x v="8"/>
    <s v="Kolkata"/>
    <d v="2011-10-29T00:00:00"/>
    <s v="Qtr 4"/>
    <d v="2011-10-29T00:00:00"/>
    <n v="2011"/>
    <s v="T20"/>
    <n v="76"/>
    <n v="2780"/>
  </r>
  <r>
    <n v="81"/>
    <n v="52"/>
    <x v="2"/>
    <x v="2"/>
    <s v="Wankhede"/>
    <d v="2011-11-22T00:00:00"/>
    <s v="Qtr 4"/>
    <d v="2011-11-22T00:00:00"/>
    <n v="2011"/>
    <s v="Test"/>
    <n v="77"/>
    <n v="2832"/>
  </r>
  <r>
    <n v="82"/>
    <n v="63"/>
    <x v="2"/>
    <x v="2"/>
    <s v="Wankhede"/>
    <d v="2011-11-22T00:00:00"/>
    <s v="Qtr 4"/>
    <d v="2011-11-22T00:00:00"/>
    <n v="2011"/>
    <s v="Test"/>
    <n v="78"/>
    <n v="2895"/>
  </r>
  <r>
    <n v="83"/>
    <n v="3"/>
    <x v="2"/>
    <x v="2"/>
    <s v="Cuttack"/>
    <d v="2011-11-29T00:00:00"/>
    <s v="Qtr 4"/>
    <d v="2011-11-29T00:00:00"/>
    <n v="2011"/>
    <s v="ODI"/>
    <n v="79"/>
    <n v="2898"/>
  </r>
  <r>
    <n v="84"/>
    <n v="117"/>
    <x v="2"/>
    <x v="2"/>
    <s v="Visakhapatnam"/>
    <d v="2011-12-02T00:00:00"/>
    <s v="Qtr 4"/>
    <d v="2011-12-02T00:00:00"/>
    <n v="2011"/>
    <s v="ODI"/>
    <n v="80"/>
    <n v="3015"/>
  </r>
  <r>
    <n v="85"/>
    <n v="20"/>
    <x v="2"/>
    <x v="2"/>
    <s v="Ahmedabad"/>
    <d v="2011-12-05T00:00:00"/>
    <s v="Qtr 4"/>
    <d v="2011-12-05T00:00:00"/>
    <n v="2011"/>
    <s v="ODI"/>
    <n v="81"/>
    <n v="3035"/>
  </r>
  <r>
    <n v="86"/>
    <n v="23"/>
    <x v="2"/>
    <x v="2"/>
    <s v="Indore"/>
    <d v="2011-12-08T00:00:00"/>
    <s v="Qtr 4"/>
    <d v="2011-12-08T00:00:00"/>
    <n v="2011"/>
    <s v="ODI"/>
    <n v="82"/>
    <n v="3058"/>
  </r>
  <r>
    <n v="87"/>
    <n v="80"/>
    <x v="2"/>
    <x v="2"/>
    <s v="Chennai"/>
    <d v="2011-12-11T00:00:00"/>
    <s v="Qtr 4"/>
    <d v="2011-12-11T00:00:00"/>
    <n v="2011"/>
    <s v="ODI"/>
    <n v="83"/>
    <n v="3138"/>
  </r>
  <r>
    <n v="88"/>
    <n v="11"/>
    <x v="3"/>
    <x v="3"/>
    <s v="Melbourne"/>
    <d v="2011-12-26T00:00:00"/>
    <s v="Qtr 4"/>
    <d v="2011-12-26T00:00:00"/>
    <n v="2011"/>
    <s v="Test"/>
    <n v="84"/>
    <n v="3149"/>
  </r>
  <r>
    <n v="89"/>
    <n v="0"/>
    <x v="3"/>
    <x v="3"/>
    <s v="Melbourne"/>
    <d v="2011-12-26T00:00:00"/>
    <s v="Qtr 4"/>
    <d v="2011-12-26T00:00:00"/>
    <n v="2011"/>
    <s v="Test"/>
    <n v="85"/>
    <n v="3149"/>
  </r>
  <r>
    <n v="90"/>
    <n v="23"/>
    <x v="3"/>
    <x v="3"/>
    <s v="Sydney"/>
    <d v="2012-01-03T00:00:00"/>
    <s v="Qtr 1"/>
    <d v="2012-01-03T00:00:00"/>
    <n v="2012"/>
    <s v="Test"/>
    <n v="86"/>
    <n v="3172"/>
  </r>
  <r>
    <n v="91"/>
    <n v="9"/>
    <x v="3"/>
    <x v="3"/>
    <s v="Sydney"/>
    <d v="2012-01-03T00:00:00"/>
    <s v="Qtr 1"/>
    <d v="2012-01-03T00:00:00"/>
    <n v="2012"/>
    <s v="Test"/>
    <n v="87"/>
    <n v="3181"/>
  </r>
  <r>
    <n v="92"/>
    <n v="44"/>
    <x v="3"/>
    <x v="3"/>
    <s v="Perth"/>
    <d v="2012-01-13T00:00:00"/>
    <s v="Qtr 1"/>
    <d v="2012-01-13T00:00:00"/>
    <n v="2012"/>
    <s v="Test"/>
    <n v="88"/>
    <n v="3225"/>
  </r>
  <r>
    <n v="93"/>
    <n v="75"/>
    <x v="3"/>
    <x v="3"/>
    <s v="Perth"/>
    <d v="2012-01-13T00:00:00"/>
    <s v="Qtr 1"/>
    <d v="2012-01-13T00:00:00"/>
    <n v="2012"/>
    <s v="Test"/>
    <n v="89"/>
    <n v="3300"/>
  </r>
  <r>
    <n v="94"/>
    <n v="116"/>
    <x v="3"/>
    <x v="3"/>
    <s v="Adelaide"/>
    <d v="2012-01-24T00:00:00"/>
    <s v="Qtr 1"/>
    <d v="2012-01-24T00:00:00"/>
    <n v="2012"/>
    <s v="Test"/>
    <n v="90"/>
    <n v="3416"/>
  </r>
  <r>
    <n v="95"/>
    <n v="22"/>
    <x v="3"/>
    <x v="3"/>
    <s v="Adelaide"/>
    <d v="2012-01-24T00:00:00"/>
    <s v="Qtr 1"/>
    <d v="2012-01-24T00:00:00"/>
    <n v="2012"/>
    <s v="Test"/>
    <n v="91"/>
    <n v="3438"/>
  </r>
  <r>
    <n v="96"/>
    <n v="22"/>
    <x v="3"/>
    <x v="3"/>
    <s v="Sydney"/>
    <d v="2012-02-01T00:00:00"/>
    <s v="Qtr 1"/>
    <d v="2012-02-01T00:00:00"/>
    <n v="2012"/>
    <s v="T20"/>
    <n v="92"/>
    <n v="3460"/>
  </r>
  <r>
    <n v="97"/>
    <n v="31"/>
    <x v="3"/>
    <x v="3"/>
    <s v="Melbourne"/>
    <d v="2012-02-03T00:00:00"/>
    <s v="Qtr 1"/>
    <d v="2012-02-03T00:00:00"/>
    <n v="2012"/>
    <s v="T20"/>
    <n v="93"/>
    <n v="3491"/>
  </r>
  <r>
    <n v="98"/>
    <n v="31"/>
    <x v="3"/>
    <x v="3"/>
    <s v="Melbourne"/>
    <d v="2012-02-05T00:00:00"/>
    <s v="Qtr 1"/>
    <d v="2012-02-05T00:00:00"/>
    <n v="2012"/>
    <s v="ODI"/>
    <n v="94"/>
    <n v="3522"/>
  </r>
  <r>
    <n v="99"/>
    <n v="77"/>
    <x v="0"/>
    <x v="0"/>
    <s v="Perth"/>
    <d v="2012-02-08T00:00:00"/>
    <s v="Qtr 1"/>
    <d v="2012-02-08T00:00:00"/>
    <n v="2012"/>
    <s v="ODI"/>
    <n v="95"/>
    <n v="3599"/>
  </r>
  <r>
    <n v="100"/>
    <n v="18"/>
    <x v="3"/>
    <x v="3"/>
    <s v="Adelaide"/>
    <d v="2012-02-12T00:00:00"/>
    <s v="Qtr 1"/>
    <d v="2012-02-12T00:00:00"/>
    <n v="2012"/>
    <s v="ODI"/>
    <n v="96"/>
    <n v="3617"/>
  </r>
  <r>
    <n v="101"/>
    <n v="15"/>
    <x v="0"/>
    <x v="0"/>
    <s v="Adelaide"/>
    <d v="2012-02-14T00:00:00"/>
    <s v="Qtr 1"/>
    <d v="2012-02-14T00:00:00"/>
    <n v="2012"/>
    <s v="ODI"/>
    <n v="97"/>
    <n v="3632"/>
  </r>
  <r>
    <n v="102"/>
    <n v="12"/>
    <x v="3"/>
    <x v="3"/>
    <s v="Brisbane"/>
    <d v="2012-02-19T00:00:00"/>
    <s v="Qtr 1"/>
    <d v="2012-02-19T00:00:00"/>
    <n v="2012"/>
    <s v="ODI"/>
    <n v="98"/>
    <n v="3644"/>
  </r>
  <r>
    <n v="103"/>
    <n v="66"/>
    <x v="0"/>
    <x v="0"/>
    <s v="Brisbane"/>
    <d v="2012-02-21T00:00:00"/>
    <s v="Qtr 1"/>
    <d v="2012-02-21T00:00:00"/>
    <n v="2012"/>
    <s v="ODI"/>
    <n v="99"/>
    <n v="3710"/>
  </r>
  <r>
    <n v="104"/>
    <n v="21"/>
    <x v="3"/>
    <x v="3"/>
    <s v="Sydney"/>
    <d v="2012-02-26T00:00:00"/>
    <s v="Qtr 1"/>
    <d v="2012-02-26T00:00:00"/>
    <n v="2012"/>
    <s v="ODI"/>
    <n v="100"/>
    <n v="3731"/>
  </r>
  <r>
    <n v="105"/>
    <n v="133"/>
    <x v="0"/>
    <x v="0"/>
    <s v="Hobart"/>
    <d v="2012-02-28T00:00:00"/>
    <s v="Qtr 1"/>
    <d v="2012-02-28T00:00:00"/>
    <n v="2012"/>
    <s v="ODI"/>
    <n v="101"/>
    <n v="3864"/>
  </r>
  <r>
    <n v="106"/>
    <n v="108"/>
    <x v="0"/>
    <x v="0"/>
    <s v="Mirpur"/>
    <d v="2012-03-13T00:00:00"/>
    <s v="Qtr 1"/>
    <d v="2012-03-13T00:00:00"/>
    <n v="2012"/>
    <s v="ODI"/>
    <n v="102"/>
    <n v="3972"/>
  </r>
  <r>
    <n v="107"/>
    <n v="66"/>
    <x v="4"/>
    <x v="4"/>
    <s v="Mirpur"/>
    <d v="2012-03-16T00:00:00"/>
    <s v="Qtr 1"/>
    <d v="2012-03-16T00:00:00"/>
    <n v="2012"/>
    <s v="ODI"/>
    <n v="103"/>
    <n v="4038"/>
  </r>
  <r>
    <n v="108"/>
    <n v="183"/>
    <x v="1"/>
    <x v="1"/>
    <s v="Mirpur"/>
    <d v="2012-03-18T00:00:00"/>
    <s v="Qtr 1"/>
    <d v="2012-03-18T00:00:00"/>
    <n v="2012"/>
    <s v="ODI"/>
    <n v="104"/>
    <n v="4221"/>
  </r>
  <r>
    <n v="110"/>
    <n v="106"/>
    <x v="0"/>
    <x v="0"/>
    <s v="Hambantota"/>
    <d v="2012-07-21T00:00:00"/>
    <s v="Qtr 3"/>
    <d v="2012-07-21T00:00:00"/>
    <n v="2012"/>
    <s v="ODI"/>
    <n v="105"/>
    <n v="4327"/>
  </r>
  <r>
    <n v="111"/>
    <n v="1"/>
    <x v="0"/>
    <x v="0"/>
    <s v="Hambantota"/>
    <d v="2012-07-24T00:00:00"/>
    <s v="Qtr 3"/>
    <d v="2012-07-24T00:00:00"/>
    <n v="2012"/>
    <s v="ODI"/>
    <n v="106"/>
    <n v="4328"/>
  </r>
  <r>
    <n v="112"/>
    <n v="38"/>
    <x v="0"/>
    <x v="0"/>
    <s v="Colombo(RPS)"/>
    <d v="2012-07-28T00:00:00"/>
    <s v="Qtr 3"/>
    <d v="2012-07-28T00:00:00"/>
    <n v="2012"/>
    <s v="ODI"/>
    <n v="107"/>
    <n v="4366"/>
  </r>
  <r>
    <n v="113"/>
    <n v="128"/>
    <x v="0"/>
    <x v="0"/>
    <s v="Colombo(RPS)"/>
    <d v="2012-07-31T00:00:00"/>
    <s v="Qtr 3"/>
    <d v="2012-07-31T00:00:00"/>
    <n v="2012"/>
    <s v="ODI"/>
    <n v="108"/>
    <n v="4494"/>
  </r>
  <r>
    <n v="114"/>
    <n v="23"/>
    <x v="0"/>
    <x v="0"/>
    <s v="Pallekele"/>
    <d v="2012-08-04T00:00:00"/>
    <s v="Qtr 3"/>
    <d v="2012-08-04T00:00:00"/>
    <n v="2012"/>
    <s v="ODI"/>
    <n v="109"/>
    <n v="4517"/>
  </r>
  <r>
    <n v="115"/>
    <n v="68"/>
    <x v="0"/>
    <x v="0"/>
    <s v="Pallekele"/>
    <d v="2012-08-07T00:00:00"/>
    <s v="Qtr 3"/>
    <d v="2012-08-07T00:00:00"/>
    <n v="2012"/>
    <s v="T20"/>
    <n v="110"/>
    <n v="4585"/>
  </r>
  <r>
    <n v="116"/>
    <n v="58"/>
    <x v="7"/>
    <x v="7"/>
    <s v="Hyderabad(Deccan)"/>
    <d v="2012-08-23T00:00:00"/>
    <s v="Qtr 3"/>
    <d v="2012-08-23T00:00:00"/>
    <n v="2012"/>
    <s v="Test"/>
    <n v="111"/>
    <n v="4643"/>
  </r>
  <r>
    <n v="117"/>
    <n v="103"/>
    <x v="7"/>
    <x v="7"/>
    <s v="Bengaluru"/>
    <d v="2012-08-31T00:00:00"/>
    <s v="Qtr 3"/>
    <d v="2012-08-31T00:00:00"/>
    <n v="2012"/>
    <s v="Test"/>
    <n v="112"/>
    <n v="4746"/>
  </r>
  <r>
    <n v="118"/>
    <n v="51"/>
    <x v="7"/>
    <x v="7"/>
    <s v="Bengaluru"/>
    <d v="2012-08-31T00:00:00"/>
    <s v="Qtr 3"/>
    <d v="2012-08-31T00:00:00"/>
    <n v="2012"/>
    <s v="Test"/>
    <n v="113"/>
    <n v="4797"/>
  </r>
  <r>
    <n v="119"/>
    <n v="70"/>
    <x v="7"/>
    <x v="7"/>
    <s v="Chennai"/>
    <d v="2012-09-11T00:00:00"/>
    <s v="Qtr 3"/>
    <d v="2012-09-11T00:00:00"/>
    <n v="2012"/>
    <s v="T20"/>
    <n v="114"/>
    <n v="4867"/>
  </r>
  <r>
    <n v="120"/>
    <n v="50"/>
    <x v="11"/>
    <x v="11"/>
    <s v="Colombo(RPS)"/>
    <d v="2012-09-19T00:00:00"/>
    <s v="Qtr 3"/>
    <d v="2012-09-19T00:00:00"/>
    <n v="2012"/>
    <s v="T20"/>
    <n v="115"/>
    <n v="4917"/>
  </r>
  <r>
    <n v="121"/>
    <n v="40"/>
    <x v="8"/>
    <x v="8"/>
    <s v="Colombo(RPS)"/>
    <d v="2012-09-23T00:00:00"/>
    <s v="Qtr 3"/>
    <d v="2012-09-23T00:00:00"/>
    <n v="2012"/>
    <s v="T20"/>
    <n v="116"/>
    <n v="4957"/>
  </r>
  <r>
    <n v="122"/>
    <n v="15"/>
    <x v="3"/>
    <x v="3"/>
    <s v="Colombo(RPS)"/>
    <d v="2012-09-28T00:00:00"/>
    <s v="Qtr 3"/>
    <d v="2012-09-28T00:00:00"/>
    <n v="2012"/>
    <s v="T20"/>
    <n v="117"/>
    <n v="4972"/>
  </r>
  <r>
    <n v="123"/>
    <n v="78"/>
    <x v="1"/>
    <x v="1"/>
    <s v="Colombo(RPS)"/>
    <d v="2012-09-30T00:00:00"/>
    <s v="Qtr 3"/>
    <d v="2012-09-30T00:00:00"/>
    <n v="2012"/>
    <s v="T20"/>
    <n v="118"/>
    <n v="5050"/>
  </r>
  <r>
    <n v="124"/>
    <n v="2"/>
    <x v="5"/>
    <x v="5"/>
    <s v="Colombo(RPS)"/>
    <d v="2012-10-02T00:00:00"/>
    <s v="Qtr 4"/>
    <d v="2012-10-02T00:00:00"/>
    <n v="2012"/>
    <s v="T20"/>
    <n v="119"/>
    <n v="5052"/>
  </r>
  <r>
    <n v="125"/>
    <n v="19"/>
    <x v="8"/>
    <x v="8"/>
    <s v="Ahmedabad"/>
    <d v="2012-11-15T00:00:00"/>
    <s v="Qtr 4"/>
    <d v="2012-11-15T00:00:00"/>
    <n v="2012"/>
    <s v="Test"/>
    <n v="120"/>
    <n v="5071"/>
  </r>
  <r>
    <n v="126"/>
    <n v="14"/>
    <x v="8"/>
    <x v="8"/>
    <s v="Ahmedabad"/>
    <d v="2012-11-15T00:00:00"/>
    <s v="Qtr 4"/>
    <d v="2012-11-15T00:00:00"/>
    <n v="2012"/>
    <s v="Test"/>
    <n v="121"/>
    <n v="5085"/>
  </r>
  <r>
    <n v="127"/>
    <n v="19"/>
    <x v="8"/>
    <x v="8"/>
    <s v="Wankhede"/>
    <d v="2012-11-23T00:00:00"/>
    <s v="Qtr 4"/>
    <d v="2012-11-23T00:00:00"/>
    <n v="2012"/>
    <s v="Test"/>
    <n v="122"/>
    <n v="5104"/>
  </r>
  <r>
    <n v="128"/>
    <n v="7"/>
    <x v="8"/>
    <x v="8"/>
    <s v="Wankhede"/>
    <d v="2012-11-23T00:00:00"/>
    <s v="Qtr 4"/>
    <d v="2012-11-23T00:00:00"/>
    <n v="2012"/>
    <s v="Test"/>
    <n v="123"/>
    <n v="5111"/>
  </r>
  <r>
    <n v="129"/>
    <n v="6"/>
    <x v="8"/>
    <x v="8"/>
    <s v="Kolkata"/>
    <d v="2012-12-05T00:00:00"/>
    <s v="Qtr 4"/>
    <d v="2012-12-05T00:00:00"/>
    <n v="2012"/>
    <s v="Test"/>
    <n v="124"/>
    <n v="5117"/>
  </r>
  <r>
    <n v="130"/>
    <n v="20"/>
    <x v="8"/>
    <x v="8"/>
    <s v="Kolkata"/>
    <d v="2012-12-05T00:00:00"/>
    <s v="Qtr 4"/>
    <d v="2012-12-05T00:00:00"/>
    <n v="2012"/>
    <s v="Test"/>
    <n v="125"/>
    <n v="5137"/>
  </r>
  <r>
    <n v="131"/>
    <n v="103"/>
    <x v="8"/>
    <x v="8"/>
    <s v="Nagpur"/>
    <d v="2012-12-13T00:00:00"/>
    <s v="Qtr 4"/>
    <d v="2012-12-13T00:00:00"/>
    <n v="2012"/>
    <s v="Test"/>
    <n v="126"/>
    <n v="5240"/>
  </r>
  <r>
    <n v="132"/>
    <n v="21"/>
    <x v="8"/>
    <x v="8"/>
    <s v="Pune"/>
    <d v="2012-12-20T00:00:00"/>
    <s v="Qtr 4"/>
    <d v="2012-12-20T00:00:00"/>
    <n v="2012"/>
    <s v="T20"/>
    <n v="127"/>
    <n v="5261"/>
  </r>
  <r>
    <n v="133"/>
    <n v="38"/>
    <x v="8"/>
    <x v="8"/>
    <s v="Wankhede"/>
    <d v="2012-12-22T00:00:00"/>
    <s v="Qtr 4"/>
    <d v="2012-12-22T00:00:00"/>
    <n v="2012"/>
    <s v="T20"/>
    <n v="128"/>
    <n v="5299"/>
  </r>
  <r>
    <n v="134"/>
    <n v="9"/>
    <x v="1"/>
    <x v="1"/>
    <s v="Bengaluru"/>
    <d v="2012-12-25T00:00:00"/>
    <s v="Qtr 4"/>
    <d v="2012-12-25T00:00:00"/>
    <n v="2012"/>
    <s v="T20"/>
    <n v="129"/>
    <n v="5308"/>
  </r>
  <r>
    <n v="135"/>
    <n v="27"/>
    <x v="1"/>
    <x v="1"/>
    <s v="Ahmedabad"/>
    <d v="2012-12-28T00:00:00"/>
    <s v="Qtr 4"/>
    <d v="2012-12-28T00:00:00"/>
    <n v="2012"/>
    <s v="T20"/>
    <n v="130"/>
    <n v="5335"/>
  </r>
  <r>
    <n v="136"/>
    <n v="0"/>
    <x v="1"/>
    <x v="1"/>
    <s v="Chennai"/>
    <d v="2012-12-30T00:00:00"/>
    <s v="Qtr 4"/>
    <d v="2012-12-30T00:00:00"/>
    <n v="2012"/>
    <s v="ODI"/>
    <n v="131"/>
    <n v="5335"/>
  </r>
  <r>
    <n v="137"/>
    <n v="6"/>
    <x v="1"/>
    <x v="1"/>
    <s v="Kolkata"/>
    <d v="2013-01-03T00:00:00"/>
    <s v="Qtr 1"/>
    <d v="2013-01-03T00:00:00"/>
    <n v="2013"/>
    <s v="ODI"/>
    <n v="132"/>
    <n v="5341"/>
  </r>
  <r>
    <n v="138"/>
    <n v="7"/>
    <x v="1"/>
    <x v="1"/>
    <s v="Delhi"/>
    <d v="2013-01-06T00:00:00"/>
    <s v="Qtr 1"/>
    <d v="2013-01-06T00:00:00"/>
    <n v="2013"/>
    <s v="ODI"/>
    <n v="133"/>
    <n v="5348"/>
  </r>
  <r>
    <n v="139"/>
    <n v="15"/>
    <x v="8"/>
    <x v="8"/>
    <s v="Rajkot"/>
    <d v="2013-01-11T00:00:00"/>
    <s v="Qtr 1"/>
    <d v="2013-01-11T00:00:00"/>
    <n v="2013"/>
    <s v="ODI"/>
    <n v="134"/>
    <n v="5363"/>
  </r>
  <r>
    <n v="140"/>
    <n v="37"/>
    <x v="8"/>
    <x v="8"/>
    <s v="Kochi"/>
    <d v="2013-01-15T00:00:00"/>
    <s v="Qtr 1"/>
    <d v="2013-01-15T00:00:00"/>
    <n v="2013"/>
    <s v="ODI"/>
    <n v="135"/>
    <n v="5400"/>
  </r>
  <r>
    <n v="141"/>
    <n v="77"/>
    <x v="8"/>
    <x v="8"/>
    <s v="Ranchi"/>
    <d v="2013-01-19T00:00:00"/>
    <s v="Qtr 1"/>
    <d v="2013-01-19T00:00:00"/>
    <n v="2013"/>
    <s v="ODI"/>
    <n v="136"/>
    <n v="5477"/>
  </r>
  <r>
    <n v="142"/>
    <n v="26"/>
    <x v="8"/>
    <x v="8"/>
    <s v="Mohali"/>
    <d v="2013-01-23T00:00:00"/>
    <s v="Qtr 1"/>
    <d v="2013-01-23T00:00:00"/>
    <n v="2013"/>
    <s v="ODI"/>
    <n v="137"/>
    <n v="5503"/>
  </r>
  <r>
    <n v="143"/>
    <n v="0"/>
    <x v="8"/>
    <x v="8"/>
    <s v="Dharamsala"/>
    <d v="2013-01-27T00:00:00"/>
    <s v="Qtr 1"/>
    <d v="2013-01-27T00:00:00"/>
    <n v="2013"/>
    <s v="ODI"/>
    <n v="138"/>
    <n v="5503"/>
  </r>
  <r>
    <n v="144"/>
    <n v="107"/>
    <x v="3"/>
    <x v="3"/>
    <s v="Chennai"/>
    <d v="2013-02-22T00:00:00"/>
    <s v="Qtr 1"/>
    <d v="2013-02-22T00:00:00"/>
    <n v="2013"/>
    <s v="Test"/>
    <n v="139"/>
    <n v="5610"/>
  </r>
  <r>
    <n v="146"/>
    <n v="34"/>
    <x v="3"/>
    <x v="3"/>
    <s v="Hyderabad(Deccan)"/>
    <d v="2013-03-02T00:00:00"/>
    <s v="Qtr 1"/>
    <d v="2013-03-02T00:00:00"/>
    <n v="2013"/>
    <s v="Test"/>
    <n v="140"/>
    <n v="5644"/>
  </r>
  <r>
    <n v="147"/>
    <n v="67"/>
    <x v="3"/>
    <x v="3"/>
    <s v="Mohali"/>
    <d v="2013-03-14T00:00:00"/>
    <s v="Qtr 1"/>
    <d v="2013-03-14T00:00:00"/>
    <n v="2013"/>
    <s v="Test"/>
    <n v="141"/>
    <n v="5711"/>
  </r>
  <r>
    <n v="148"/>
    <n v="34"/>
    <x v="3"/>
    <x v="3"/>
    <s v="Mohali"/>
    <d v="2013-03-14T00:00:00"/>
    <s v="Qtr 1"/>
    <d v="2013-03-14T00:00:00"/>
    <n v="2013"/>
    <s v="Test"/>
    <n v="142"/>
    <n v="5745"/>
  </r>
  <r>
    <n v="149"/>
    <n v="1"/>
    <x v="3"/>
    <x v="3"/>
    <s v="Delhi"/>
    <d v="2013-03-22T00:00:00"/>
    <s v="Qtr 1"/>
    <d v="2013-03-22T00:00:00"/>
    <n v="2013"/>
    <s v="Test"/>
    <n v="143"/>
    <n v="5746"/>
  </r>
  <r>
    <n v="150"/>
    <n v="41"/>
    <x v="3"/>
    <x v="3"/>
    <s v="Delhi"/>
    <d v="2013-03-22T00:00:00"/>
    <s v="Qtr 1"/>
    <d v="2013-03-22T00:00:00"/>
    <n v="2013"/>
    <s v="Test"/>
    <n v="144"/>
    <n v="5787"/>
  </r>
  <r>
    <n v="151"/>
    <n v="31"/>
    <x v="5"/>
    <x v="5"/>
    <s v="Cardiff"/>
    <d v="2013-06-06T00:00:00"/>
    <s v="Qtr 2"/>
    <d v="2013-06-06T00:00:00"/>
    <n v="2013"/>
    <s v="ODI"/>
    <n v="145"/>
    <n v="5818"/>
  </r>
  <r>
    <n v="152"/>
    <n v="22"/>
    <x v="2"/>
    <x v="2"/>
    <s v="TheOval"/>
    <d v="2013-06-11T00:00:00"/>
    <s v="Qtr 2"/>
    <d v="2013-06-11T00:00:00"/>
    <n v="2013"/>
    <s v="ODI"/>
    <n v="146"/>
    <n v="5840"/>
  </r>
  <r>
    <n v="153"/>
    <n v="22"/>
    <x v="1"/>
    <x v="1"/>
    <s v="Birmingham"/>
    <d v="2013-06-15T00:00:00"/>
    <s v="Qtr 2"/>
    <d v="2013-06-15T00:00:00"/>
    <n v="2013"/>
    <s v="ODI"/>
    <n v="147"/>
    <n v="5862"/>
  </r>
  <r>
    <n v="154"/>
    <n v="58"/>
    <x v="0"/>
    <x v="0"/>
    <s v="Cardiff"/>
    <d v="2013-06-20T00:00:00"/>
    <s v="Qtr 2"/>
    <d v="2013-06-20T00:00:00"/>
    <n v="2013"/>
    <s v="ODI"/>
    <n v="148"/>
    <n v="5920"/>
  </r>
  <r>
    <n v="155"/>
    <n v="43"/>
    <x v="8"/>
    <x v="8"/>
    <s v="Birmingham"/>
    <d v="2013-06-23T00:00:00"/>
    <s v="Qtr 2"/>
    <d v="2013-06-23T00:00:00"/>
    <n v="2013"/>
    <s v="ODI"/>
    <n v="149"/>
    <n v="5963"/>
  </r>
  <r>
    <n v="156"/>
    <n v="11"/>
    <x v="2"/>
    <x v="2"/>
    <s v="Kingston"/>
    <d v="2013-06-30T00:00:00"/>
    <s v="Qtr 2"/>
    <d v="2013-06-30T00:00:00"/>
    <n v="2013"/>
    <s v="ODI"/>
    <n v="150"/>
    <n v="5974"/>
  </r>
  <r>
    <n v="157"/>
    <n v="2"/>
    <x v="0"/>
    <x v="0"/>
    <s v="Kingston"/>
    <d v="2013-07-02T00:00:00"/>
    <s v="Qtr 3"/>
    <d v="2013-07-02T00:00:00"/>
    <n v="2013"/>
    <s v="ODI"/>
    <n v="151"/>
    <n v="5976"/>
  </r>
  <r>
    <n v="158"/>
    <n v="102"/>
    <x v="2"/>
    <x v="2"/>
    <s v="PortofSpain"/>
    <d v="2013-07-05T00:00:00"/>
    <s v="Qtr 3"/>
    <d v="2013-07-05T00:00:00"/>
    <n v="2013"/>
    <s v="ODI"/>
    <n v="152"/>
    <n v="6078"/>
  </r>
  <r>
    <n v="159"/>
    <n v="31"/>
    <x v="0"/>
    <x v="0"/>
    <s v="PortofSpain"/>
    <d v="2013-07-09T00:00:00"/>
    <s v="Qtr 3"/>
    <d v="2013-07-09T00:00:00"/>
    <n v="2013"/>
    <s v="ODI"/>
    <n v="153"/>
    <n v="6109"/>
  </r>
  <r>
    <n v="160"/>
    <n v="2"/>
    <x v="0"/>
    <x v="0"/>
    <s v="PortofSpain"/>
    <d v="2013-07-11T00:00:00"/>
    <s v="Qtr 3"/>
    <d v="2013-07-11T00:00:00"/>
    <n v="2013"/>
    <s v="ODI"/>
    <n v="154"/>
    <n v="6111"/>
  </r>
  <r>
    <n v="161"/>
    <n v="115"/>
    <x v="6"/>
    <x v="6"/>
    <s v="Harare"/>
    <d v="2013-07-24T00:00:00"/>
    <s v="Qtr 3"/>
    <d v="2013-07-24T00:00:00"/>
    <n v="2013"/>
    <s v="ODI"/>
    <n v="155"/>
    <n v="6226"/>
  </r>
  <r>
    <n v="162"/>
    <n v="14"/>
    <x v="6"/>
    <x v="6"/>
    <s v="Harare"/>
    <d v="2013-07-26T00:00:00"/>
    <s v="Qtr 3"/>
    <d v="2013-07-26T00:00:00"/>
    <n v="2013"/>
    <s v="ODI"/>
    <n v="156"/>
    <n v="6240"/>
  </r>
  <r>
    <n v="163"/>
    <n v="68"/>
    <x v="6"/>
    <x v="6"/>
    <s v="Harare"/>
    <d v="2013-07-28T00:00:00"/>
    <s v="Qtr 3"/>
    <d v="2013-07-28T00:00:00"/>
    <n v="2013"/>
    <s v="ODI"/>
    <n v="157"/>
    <n v="6308"/>
  </r>
  <r>
    <n v="166"/>
    <n v="29"/>
    <x v="3"/>
    <x v="3"/>
    <s v="Rajkot"/>
    <d v="2013-10-10T00:00:00"/>
    <s v="Qtr 4"/>
    <d v="2013-10-10T00:00:00"/>
    <n v="2013"/>
    <s v="T20"/>
    <n v="158"/>
    <n v="6337"/>
  </r>
  <r>
    <n v="167"/>
    <n v="61"/>
    <x v="3"/>
    <x v="3"/>
    <s v="Pune"/>
    <d v="2013-10-13T00:00:00"/>
    <s v="Qtr 4"/>
    <d v="2013-10-13T00:00:00"/>
    <n v="2013"/>
    <s v="ODI"/>
    <n v="159"/>
    <n v="6398"/>
  </r>
  <r>
    <n v="168"/>
    <n v="100"/>
    <x v="3"/>
    <x v="3"/>
    <s v="Jaipur"/>
    <d v="2013-10-16T00:00:00"/>
    <s v="Qtr 4"/>
    <d v="2013-10-16T00:00:00"/>
    <n v="2013"/>
    <s v="ODI"/>
    <n v="160"/>
    <n v="6498"/>
  </r>
  <r>
    <n v="169"/>
    <n v="68"/>
    <x v="3"/>
    <x v="3"/>
    <s v="Mohali"/>
    <d v="2013-10-19T00:00:00"/>
    <s v="Qtr 4"/>
    <d v="2013-10-19T00:00:00"/>
    <n v="2013"/>
    <s v="ODI"/>
    <n v="161"/>
    <n v="6566"/>
  </r>
  <r>
    <n v="171"/>
    <n v="115"/>
    <x v="3"/>
    <x v="3"/>
    <s v="Nagpur"/>
    <d v="2013-10-30T00:00:00"/>
    <s v="Qtr 4"/>
    <d v="2013-10-30T00:00:00"/>
    <n v="2013"/>
    <s v="ODI"/>
    <n v="162"/>
    <n v="6681"/>
  </r>
  <r>
    <n v="172"/>
    <n v="0"/>
    <x v="3"/>
    <x v="3"/>
    <s v="Bengaluru"/>
    <d v="2013-11-02T00:00:00"/>
    <s v="Qtr 4"/>
    <d v="2013-11-02T00:00:00"/>
    <n v="2013"/>
    <s v="ODI"/>
    <n v="163"/>
    <n v="6681"/>
  </r>
  <r>
    <n v="173"/>
    <n v="3"/>
    <x v="2"/>
    <x v="2"/>
    <s v="Kolkata"/>
    <d v="2013-11-06T00:00:00"/>
    <s v="Qtr 4"/>
    <d v="2013-11-06T00:00:00"/>
    <n v="2013"/>
    <s v="Test"/>
    <n v="164"/>
    <n v="6684"/>
  </r>
  <r>
    <n v="174"/>
    <n v="57"/>
    <x v="2"/>
    <x v="2"/>
    <s v="Wankhede"/>
    <d v="2013-11-14T00:00:00"/>
    <s v="Qtr 4"/>
    <d v="2013-11-14T00:00:00"/>
    <n v="2013"/>
    <s v="Test"/>
    <n v="165"/>
    <n v="6741"/>
  </r>
  <r>
    <n v="175"/>
    <n v="86"/>
    <x v="2"/>
    <x v="2"/>
    <s v="Kochi"/>
    <d v="2013-11-21T00:00:00"/>
    <s v="Qtr 4"/>
    <d v="2013-11-21T00:00:00"/>
    <n v="2013"/>
    <s v="ODI"/>
    <n v="166"/>
    <n v="6827"/>
  </r>
  <r>
    <n v="176"/>
    <n v="99"/>
    <x v="2"/>
    <x v="2"/>
    <s v="Visakhapatnam"/>
    <d v="2013-11-24T00:00:00"/>
    <s v="Qtr 4"/>
    <d v="2013-11-24T00:00:00"/>
    <n v="2013"/>
    <s v="ODI"/>
    <n v="167"/>
    <n v="6926"/>
  </r>
  <r>
    <n v="177"/>
    <n v="19"/>
    <x v="2"/>
    <x v="2"/>
    <s v="Kanpur"/>
    <d v="2013-11-27T00:00:00"/>
    <s v="Qtr 4"/>
    <d v="2013-11-27T00:00:00"/>
    <n v="2013"/>
    <s v="ODI"/>
    <n v="168"/>
    <n v="6945"/>
  </r>
  <r>
    <n v="178"/>
    <n v="31"/>
    <x v="5"/>
    <x v="5"/>
    <s v="Johannesburg"/>
    <d v="2013-12-05T00:00:00"/>
    <s v="Qtr 4"/>
    <d v="2013-12-05T00:00:00"/>
    <n v="2013"/>
    <s v="ODI"/>
    <n v="169"/>
    <n v="6976"/>
  </r>
  <r>
    <n v="179"/>
    <n v="0"/>
    <x v="5"/>
    <x v="5"/>
    <s v="Durban"/>
    <d v="2013-12-08T00:00:00"/>
    <s v="Qtr 4"/>
    <d v="2013-12-08T00:00:00"/>
    <n v="2013"/>
    <s v="ODI"/>
    <n v="170"/>
    <n v="6976"/>
  </r>
  <r>
    <n v="181"/>
    <n v="119"/>
    <x v="5"/>
    <x v="5"/>
    <s v="Johannesburg"/>
    <d v="2013-12-18T00:00:00"/>
    <s v="Qtr 4"/>
    <d v="2013-12-18T00:00:00"/>
    <n v="2013"/>
    <s v="Test"/>
    <n v="171"/>
    <n v="7095"/>
  </r>
  <r>
    <n v="182"/>
    <n v="96"/>
    <x v="5"/>
    <x v="5"/>
    <s v="Johannesburg"/>
    <d v="2013-12-18T00:00:00"/>
    <s v="Qtr 4"/>
    <d v="2013-12-18T00:00:00"/>
    <n v="2013"/>
    <s v="Test"/>
    <n v="172"/>
    <n v="7191"/>
  </r>
  <r>
    <n v="183"/>
    <n v="46"/>
    <x v="5"/>
    <x v="5"/>
    <s v="Durban"/>
    <d v="2013-12-26T00:00:00"/>
    <s v="Qtr 4"/>
    <d v="2013-12-26T00:00:00"/>
    <n v="2013"/>
    <s v="Test"/>
    <n v="173"/>
    <n v="7237"/>
  </r>
  <r>
    <n v="184"/>
    <n v="11"/>
    <x v="5"/>
    <x v="5"/>
    <s v="Durban"/>
    <d v="2013-12-26T00:00:00"/>
    <s v="Qtr 4"/>
    <d v="2013-12-26T00:00:00"/>
    <n v="2013"/>
    <s v="Test"/>
    <n v="174"/>
    <n v="7248"/>
  </r>
  <r>
    <n v="185"/>
    <n v="123"/>
    <x v="7"/>
    <x v="7"/>
    <s v="Napier"/>
    <d v="2014-01-19T00:00:00"/>
    <s v="Qtr 1"/>
    <d v="2014-01-19T00:00:00"/>
    <n v="2014"/>
    <s v="ODI"/>
    <n v="175"/>
    <n v="7371"/>
  </r>
  <r>
    <n v="186"/>
    <n v="78"/>
    <x v="7"/>
    <x v="7"/>
    <s v="Hamilton"/>
    <d v="2014-01-22T00:00:00"/>
    <s v="Qtr 1"/>
    <d v="2014-01-22T00:00:00"/>
    <n v="2014"/>
    <s v="ODI"/>
    <n v="176"/>
    <n v="7449"/>
  </r>
  <r>
    <n v="187"/>
    <n v="6"/>
    <x v="7"/>
    <x v="7"/>
    <s v="Auckland"/>
    <d v="2014-01-25T00:00:00"/>
    <s v="Qtr 1"/>
    <d v="2014-01-25T00:00:00"/>
    <n v="2014"/>
    <s v="ODI"/>
    <n v="177"/>
    <n v="7455"/>
  </r>
  <r>
    <n v="188"/>
    <n v="2"/>
    <x v="7"/>
    <x v="7"/>
    <s v="Hamilton"/>
    <d v="2014-01-28T00:00:00"/>
    <s v="Qtr 1"/>
    <d v="2014-01-28T00:00:00"/>
    <n v="2014"/>
    <s v="ODI"/>
    <n v="178"/>
    <n v="7457"/>
  </r>
  <r>
    <n v="189"/>
    <n v="82"/>
    <x v="7"/>
    <x v="7"/>
    <s v="Wellington"/>
    <d v="2014-01-31T00:00:00"/>
    <s v="Qtr 1"/>
    <d v="2014-01-31T00:00:00"/>
    <n v="2014"/>
    <s v="ODI"/>
    <n v="179"/>
    <n v="7539"/>
  </r>
  <r>
    <n v="190"/>
    <n v="4"/>
    <x v="7"/>
    <x v="7"/>
    <s v="Auckland"/>
    <d v="2014-02-06T00:00:00"/>
    <s v="Qtr 1"/>
    <d v="2014-02-06T00:00:00"/>
    <n v="2014"/>
    <s v="Test"/>
    <n v="180"/>
    <n v="7543"/>
  </r>
  <r>
    <n v="191"/>
    <n v="67"/>
    <x v="7"/>
    <x v="7"/>
    <s v="Auckland"/>
    <d v="2014-02-06T00:00:00"/>
    <s v="Qtr 1"/>
    <d v="2014-02-06T00:00:00"/>
    <n v="2014"/>
    <s v="Test"/>
    <n v="181"/>
    <n v="7610"/>
  </r>
  <r>
    <n v="192"/>
    <n v="38"/>
    <x v="7"/>
    <x v="7"/>
    <s v="Wellington"/>
    <d v="2014-02-14T00:00:00"/>
    <s v="Qtr 1"/>
    <d v="2014-02-14T00:00:00"/>
    <n v="2014"/>
    <s v="Test"/>
    <n v="182"/>
    <n v="7648"/>
  </r>
  <r>
    <n v="193"/>
    <n v="105"/>
    <x v="7"/>
    <x v="7"/>
    <s v="Wellington"/>
    <d v="2014-02-14T00:00:00"/>
    <s v="Qtr 1"/>
    <d v="2014-02-14T00:00:00"/>
    <n v="2014"/>
    <s v="Test"/>
    <n v="183"/>
    <n v="7753"/>
  </r>
  <r>
    <n v="194"/>
    <n v="136"/>
    <x v="4"/>
    <x v="4"/>
    <s v="Fatullah"/>
    <d v="2014-02-26T00:00:00"/>
    <s v="Qtr 1"/>
    <d v="2014-02-26T00:00:00"/>
    <n v="2014"/>
    <s v="ODI"/>
    <n v="184"/>
    <n v="7889"/>
  </r>
  <r>
    <n v="195"/>
    <n v="48"/>
    <x v="0"/>
    <x v="0"/>
    <s v="Fatullah"/>
    <d v="2014-02-28T00:00:00"/>
    <s v="Qtr 1"/>
    <d v="2014-02-28T00:00:00"/>
    <n v="2014"/>
    <s v="ODI"/>
    <n v="185"/>
    <n v="7937"/>
  </r>
  <r>
    <n v="196"/>
    <n v="5"/>
    <x v="1"/>
    <x v="1"/>
    <s v="Mirpur"/>
    <d v="2014-03-02T00:00:00"/>
    <s v="Qtr 1"/>
    <d v="2014-03-02T00:00:00"/>
    <n v="2014"/>
    <s v="ODI"/>
    <n v="186"/>
    <n v="7942"/>
  </r>
  <r>
    <n v="198"/>
    <n v="36"/>
    <x v="1"/>
    <x v="1"/>
    <s v="Mirpur"/>
    <d v="2014-03-21T00:00:00"/>
    <s v="Qtr 1"/>
    <d v="2014-03-21T00:00:00"/>
    <n v="2014"/>
    <s v="T20"/>
    <n v="187"/>
    <n v="7978"/>
  </r>
  <r>
    <n v="199"/>
    <n v="54"/>
    <x v="2"/>
    <x v="2"/>
    <s v="Mirpur"/>
    <d v="2014-03-23T00:00:00"/>
    <s v="Qtr 1"/>
    <d v="2014-03-23T00:00:00"/>
    <n v="2014"/>
    <s v="T20"/>
    <n v="188"/>
    <n v="8032"/>
  </r>
  <r>
    <n v="200"/>
    <n v="57"/>
    <x v="4"/>
    <x v="4"/>
    <s v="Mirpur"/>
    <d v="2014-03-28T00:00:00"/>
    <s v="Qtr 1"/>
    <d v="2014-03-28T00:00:00"/>
    <n v="2014"/>
    <s v="T20"/>
    <n v="189"/>
    <n v="8089"/>
  </r>
  <r>
    <n v="201"/>
    <n v="23"/>
    <x v="3"/>
    <x v="3"/>
    <s v="Mirpur"/>
    <d v="2014-03-30T00:00:00"/>
    <s v="Qtr 1"/>
    <d v="2014-03-30T00:00:00"/>
    <n v="2014"/>
    <s v="T20"/>
    <n v="190"/>
    <n v="8112"/>
  </r>
  <r>
    <n v="202"/>
    <n v="72"/>
    <x v="5"/>
    <x v="5"/>
    <s v="Mirpur"/>
    <d v="2014-04-04T00:00:00"/>
    <s v="Qtr 2"/>
    <d v="2014-04-04T00:00:00"/>
    <n v="2014"/>
    <s v="T20"/>
    <n v="191"/>
    <n v="8184"/>
  </r>
  <r>
    <n v="203"/>
    <n v="77"/>
    <x v="0"/>
    <x v="0"/>
    <s v="Mirpur"/>
    <d v="2014-04-06T00:00:00"/>
    <s v="Qtr 2"/>
    <d v="2014-04-06T00:00:00"/>
    <n v="2014"/>
    <s v="T20"/>
    <n v="192"/>
    <n v="8261"/>
  </r>
  <r>
    <n v="204"/>
    <n v="1"/>
    <x v="8"/>
    <x v="8"/>
    <s v="Nottingham"/>
    <d v="2014-07-09T00:00:00"/>
    <s v="Qtr 3"/>
    <d v="2014-07-09T00:00:00"/>
    <n v="2014"/>
    <s v="Test"/>
    <n v="193"/>
    <n v="8262"/>
  </r>
  <r>
    <n v="205"/>
    <n v="8"/>
    <x v="8"/>
    <x v="8"/>
    <s v="Nottingham"/>
    <d v="2014-07-09T00:00:00"/>
    <s v="Qtr 3"/>
    <d v="2014-07-09T00:00:00"/>
    <n v="2014"/>
    <s v="Test"/>
    <n v="194"/>
    <n v="8270"/>
  </r>
  <r>
    <n v="206"/>
    <n v="25"/>
    <x v="8"/>
    <x v="8"/>
    <s v="Lord's"/>
    <d v="2014-07-17T00:00:00"/>
    <s v="Qtr 3"/>
    <d v="2014-07-17T00:00:00"/>
    <n v="2014"/>
    <s v="Test"/>
    <n v="195"/>
    <n v="8295"/>
  </r>
  <r>
    <n v="207"/>
    <n v="0"/>
    <x v="8"/>
    <x v="8"/>
    <s v="Lord's"/>
    <d v="2014-07-17T00:00:00"/>
    <s v="Qtr 3"/>
    <d v="2014-07-17T00:00:00"/>
    <n v="2014"/>
    <s v="Test"/>
    <n v="196"/>
    <n v="8295"/>
  </r>
  <r>
    <n v="208"/>
    <n v="39"/>
    <x v="8"/>
    <x v="8"/>
    <s v="Southampton"/>
    <d v="2014-07-27T00:00:00"/>
    <s v="Qtr 3"/>
    <d v="2014-07-27T00:00:00"/>
    <n v="2014"/>
    <s v="Test"/>
    <n v="197"/>
    <n v="8334"/>
  </r>
  <r>
    <n v="209"/>
    <n v="28"/>
    <x v="8"/>
    <x v="8"/>
    <s v="Southampton"/>
    <d v="2014-07-27T00:00:00"/>
    <s v="Qtr 3"/>
    <d v="2014-07-27T00:00:00"/>
    <n v="2014"/>
    <s v="Test"/>
    <n v="198"/>
    <n v="8362"/>
  </r>
  <r>
    <n v="210"/>
    <n v="0"/>
    <x v="8"/>
    <x v="8"/>
    <s v="Manchester"/>
    <d v="2014-08-07T00:00:00"/>
    <s v="Qtr 3"/>
    <d v="2014-08-07T00:00:00"/>
    <n v="2014"/>
    <s v="Test"/>
    <n v="199"/>
    <n v="8362"/>
  </r>
  <r>
    <n v="211"/>
    <n v="7"/>
    <x v="8"/>
    <x v="8"/>
    <s v="Manchester"/>
    <d v="2014-08-07T00:00:00"/>
    <s v="Qtr 3"/>
    <d v="2014-08-07T00:00:00"/>
    <n v="2014"/>
    <s v="Test"/>
    <n v="200"/>
    <n v="8369"/>
  </r>
  <r>
    <n v="212"/>
    <n v="6"/>
    <x v="8"/>
    <x v="8"/>
    <s v="TheOval"/>
    <d v="2014-08-15T00:00:00"/>
    <s v="Qtr 3"/>
    <d v="2014-08-15T00:00:00"/>
    <n v="2014"/>
    <s v="Test"/>
    <n v="201"/>
    <n v="8375"/>
  </r>
  <r>
    <n v="213"/>
    <n v="20"/>
    <x v="8"/>
    <x v="8"/>
    <s v="TheOval"/>
    <d v="2014-08-15T00:00:00"/>
    <s v="Qtr 3"/>
    <d v="2014-08-15T00:00:00"/>
    <n v="2014"/>
    <s v="Test"/>
    <n v="202"/>
    <n v="8395"/>
  </r>
  <r>
    <n v="214"/>
    <n v="0"/>
    <x v="8"/>
    <x v="8"/>
    <s v="Cardiff"/>
    <d v="2014-08-27T00:00:00"/>
    <s v="Qtr 3"/>
    <d v="2014-08-27T00:00:00"/>
    <n v="2014"/>
    <s v="ODI"/>
    <n v="203"/>
    <n v="8395"/>
  </r>
  <r>
    <n v="215"/>
    <n v="40"/>
    <x v="8"/>
    <x v="8"/>
    <s v="Nottingham"/>
    <d v="2014-08-30T00:00:00"/>
    <s v="Qtr 3"/>
    <d v="2014-08-30T00:00:00"/>
    <n v="2014"/>
    <s v="ODI"/>
    <n v="204"/>
    <n v="8435"/>
  </r>
  <r>
    <n v="216"/>
    <n v="1"/>
    <x v="8"/>
    <x v="8"/>
    <s v="Birmingham"/>
    <d v="2014-09-02T00:00:00"/>
    <s v="Qtr 3"/>
    <d v="2014-09-02T00:00:00"/>
    <n v="2014"/>
    <s v="ODI"/>
    <n v="205"/>
    <n v="8436"/>
  </r>
  <r>
    <n v="217"/>
    <n v="13"/>
    <x v="8"/>
    <x v="8"/>
    <s v="Leeds"/>
    <d v="2014-09-05T00:00:00"/>
    <s v="Qtr 3"/>
    <d v="2014-09-05T00:00:00"/>
    <n v="2014"/>
    <s v="ODI"/>
    <n v="206"/>
    <n v="8449"/>
  </r>
  <r>
    <n v="218"/>
    <n v="66"/>
    <x v="8"/>
    <x v="8"/>
    <s v="Birmingham"/>
    <d v="2014-09-07T00:00:00"/>
    <s v="Qtr 3"/>
    <d v="2014-09-07T00:00:00"/>
    <n v="2014"/>
    <s v="T20"/>
    <n v="207"/>
    <n v="8515"/>
  </r>
  <r>
    <n v="219"/>
    <n v="2"/>
    <x v="2"/>
    <x v="2"/>
    <s v="Kochi"/>
    <d v="2014-10-08T00:00:00"/>
    <s v="Qtr 4"/>
    <d v="2014-10-08T00:00:00"/>
    <n v="2014"/>
    <s v="ODI"/>
    <n v="208"/>
    <n v="8517"/>
  </r>
  <r>
    <n v="220"/>
    <n v="62"/>
    <x v="2"/>
    <x v="2"/>
    <s v="Delhi"/>
    <d v="2014-10-11T00:00:00"/>
    <s v="Qtr 4"/>
    <d v="2014-10-11T00:00:00"/>
    <n v="2014"/>
    <s v="ODI"/>
    <n v="209"/>
    <n v="8579"/>
  </r>
  <r>
    <n v="221"/>
    <n v="127"/>
    <x v="2"/>
    <x v="2"/>
    <s v="Dharamsala"/>
    <d v="2014-10-17T00:00:00"/>
    <s v="Qtr 4"/>
    <d v="2014-10-17T00:00:00"/>
    <n v="2014"/>
    <s v="ODI"/>
    <n v="210"/>
    <n v="8706"/>
  </r>
  <r>
    <n v="222"/>
    <n v="22"/>
    <x v="0"/>
    <x v="0"/>
    <s v="Cuttack"/>
    <d v="2014-11-02T00:00:00"/>
    <s v="Qtr 4"/>
    <d v="2014-11-02T00:00:00"/>
    <n v="2014"/>
    <s v="ODI"/>
    <n v="211"/>
    <n v="8728"/>
  </r>
  <r>
    <n v="223"/>
    <n v="49"/>
    <x v="0"/>
    <x v="0"/>
    <s v="Ahmedabad"/>
    <d v="2014-11-06T00:00:00"/>
    <s v="Qtr 4"/>
    <d v="2014-11-06T00:00:00"/>
    <n v="2014"/>
    <s v="ODI"/>
    <n v="212"/>
    <n v="8777"/>
  </r>
  <r>
    <n v="224"/>
    <n v="53"/>
    <x v="0"/>
    <x v="0"/>
    <s v="Hyderabad(Deccan)"/>
    <d v="2014-11-09T00:00:00"/>
    <s v="Qtr 4"/>
    <d v="2014-11-09T00:00:00"/>
    <n v="2014"/>
    <s v="ODI"/>
    <n v="213"/>
    <n v="8830"/>
  </r>
  <r>
    <n v="225"/>
    <n v="66"/>
    <x v="0"/>
    <x v="0"/>
    <s v="Kolkata"/>
    <d v="2014-11-13T00:00:00"/>
    <s v="Qtr 4"/>
    <d v="2014-11-13T00:00:00"/>
    <n v="2014"/>
    <s v="ODI"/>
    <n v="214"/>
    <n v="8896"/>
  </r>
  <r>
    <n v="226"/>
    <n v="139"/>
    <x v="0"/>
    <x v="0"/>
    <s v="Ranchi"/>
    <d v="2014-11-16T00:00:00"/>
    <s v="Qtr 4"/>
    <d v="2014-11-16T00:00:00"/>
    <n v="2014"/>
    <s v="ODI"/>
    <n v="215"/>
    <n v="9035"/>
  </r>
  <r>
    <n v="227"/>
    <n v="115"/>
    <x v="3"/>
    <x v="3"/>
    <s v="Adelaide"/>
    <d v="2014-12-09T00:00:00"/>
    <s v="Qtr 4"/>
    <d v="2014-12-09T00:00:00"/>
    <n v="2014"/>
    <s v="Test"/>
    <n v="216"/>
    <n v="9150"/>
  </r>
  <r>
    <n v="228"/>
    <n v="141"/>
    <x v="3"/>
    <x v="3"/>
    <s v="Adelaide"/>
    <d v="2014-12-09T00:00:00"/>
    <s v="Qtr 4"/>
    <d v="2014-12-09T00:00:00"/>
    <n v="2014"/>
    <s v="Test"/>
    <n v="217"/>
    <n v="9291"/>
  </r>
  <r>
    <n v="229"/>
    <n v="19"/>
    <x v="3"/>
    <x v="3"/>
    <s v="Brisbane"/>
    <d v="2014-12-17T00:00:00"/>
    <s v="Qtr 4"/>
    <d v="2014-12-17T00:00:00"/>
    <n v="2014"/>
    <s v="Test"/>
    <n v="218"/>
    <n v="9310"/>
  </r>
  <r>
    <n v="230"/>
    <n v="1"/>
    <x v="3"/>
    <x v="3"/>
    <s v="Brisbane"/>
    <d v="2014-12-17T00:00:00"/>
    <s v="Qtr 4"/>
    <d v="2014-12-17T00:00:00"/>
    <n v="2014"/>
    <s v="Test"/>
    <n v="219"/>
    <n v="9311"/>
  </r>
  <r>
    <n v="231"/>
    <n v="169"/>
    <x v="3"/>
    <x v="3"/>
    <s v="Melbourne"/>
    <d v="2014-12-26T00:00:00"/>
    <s v="Qtr 4"/>
    <d v="2014-12-26T00:00:00"/>
    <n v="2014"/>
    <s v="Test"/>
    <n v="220"/>
    <n v="9480"/>
  </r>
  <r>
    <n v="232"/>
    <n v="54"/>
    <x v="3"/>
    <x v="3"/>
    <s v="Melbourne"/>
    <d v="2014-12-26T00:00:00"/>
    <s v="Qtr 4"/>
    <d v="2014-12-26T00:00:00"/>
    <n v="2014"/>
    <s v="Test"/>
    <n v="221"/>
    <n v="9534"/>
  </r>
  <r>
    <n v="233"/>
    <n v="147"/>
    <x v="3"/>
    <x v="3"/>
    <s v="Sydney"/>
    <d v="2015-01-06T00:00:00"/>
    <s v="Qtr 1"/>
    <d v="2015-01-06T00:00:00"/>
    <n v="2015"/>
    <s v="Test"/>
    <n v="222"/>
    <n v="9681"/>
  </r>
  <r>
    <n v="234"/>
    <n v="46"/>
    <x v="3"/>
    <x v="3"/>
    <s v="Sydney"/>
    <d v="2015-01-06T00:00:00"/>
    <s v="Qtr 1"/>
    <d v="2015-01-06T00:00:00"/>
    <n v="2015"/>
    <s v="Test"/>
    <n v="223"/>
    <n v="9727"/>
  </r>
  <r>
    <n v="235"/>
    <n v="9"/>
    <x v="3"/>
    <x v="3"/>
    <s v="Melbourne"/>
    <d v="2015-01-18T00:00:00"/>
    <s v="Qtr 1"/>
    <d v="2015-01-18T00:00:00"/>
    <n v="2015"/>
    <s v="ODI"/>
    <n v="224"/>
    <n v="9736"/>
  </r>
  <r>
    <n v="236"/>
    <n v="4"/>
    <x v="8"/>
    <x v="8"/>
    <s v="Brisbane"/>
    <d v="2015-01-20T00:00:00"/>
    <s v="Qtr 1"/>
    <d v="2015-01-20T00:00:00"/>
    <n v="2015"/>
    <s v="ODI"/>
    <n v="225"/>
    <n v="9740"/>
  </r>
  <r>
    <n v="237"/>
    <n v="3"/>
    <x v="3"/>
    <x v="3"/>
    <s v="Sydney"/>
    <d v="2015-01-26T00:00:00"/>
    <s v="Qtr 1"/>
    <d v="2015-01-26T00:00:00"/>
    <n v="2015"/>
    <s v="ODI"/>
    <n v="226"/>
    <n v="9743"/>
  </r>
  <r>
    <n v="238"/>
    <n v="8"/>
    <x v="8"/>
    <x v="8"/>
    <s v="Perth"/>
    <d v="2015-01-30T00:00:00"/>
    <s v="Qtr 1"/>
    <d v="2015-01-30T00:00:00"/>
    <n v="2015"/>
    <s v="ODI"/>
    <n v="227"/>
    <n v="9751"/>
  </r>
  <r>
    <n v="239"/>
    <n v="107"/>
    <x v="1"/>
    <x v="1"/>
    <s v="Adelaide"/>
    <d v="2015-02-15T00:00:00"/>
    <s v="Qtr 1"/>
    <d v="2015-02-15T00:00:00"/>
    <n v="2015"/>
    <s v="ODI"/>
    <n v="228"/>
    <n v="9858"/>
  </r>
  <r>
    <n v="240"/>
    <n v="46"/>
    <x v="5"/>
    <x v="5"/>
    <s v="Melbourne"/>
    <d v="2015-02-22T00:00:00"/>
    <s v="Qtr 1"/>
    <d v="2015-02-22T00:00:00"/>
    <n v="2015"/>
    <s v="ODI"/>
    <n v="229"/>
    <n v="9904"/>
  </r>
  <r>
    <n v="241"/>
    <n v="33"/>
    <x v="12"/>
    <x v="12"/>
    <s v="Perth"/>
    <d v="2015-02-28T00:00:00"/>
    <s v="Qtr 1"/>
    <d v="2015-02-28T00:00:00"/>
    <n v="2015"/>
    <s v="ODI"/>
    <n v="230"/>
    <n v="9937"/>
  </r>
  <r>
    <n v="242"/>
    <n v="33"/>
    <x v="2"/>
    <x v="2"/>
    <s v="Perth"/>
    <d v="2015-03-06T00:00:00"/>
    <s v="Qtr 1"/>
    <d v="2015-03-06T00:00:00"/>
    <n v="2015"/>
    <s v="ODI"/>
    <n v="231"/>
    <n v="9970"/>
  </r>
  <r>
    <n v="243"/>
    <n v="44"/>
    <x v="9"/>
    <x v="9"/>
    <s v="Hamilton"/>
    <d v="2015-03-10T00:00:00"/>
    <s v="Qtr 1"/>
    <d v="2015-03-10T00:00:00"/>
    <n v="2015"/>
    <s v="ODI"/>
    <n v="232"/>
    <n v="10014"/>
  </r>
  <r>
    <n v="244"/>
    <n v="38"/>
    <x v="6"/>
    <x v="6"/>
    <s v="Auckland"/>
    <d v="2015-03-14T00:00:00"/>
    <s v="Qtr 1"/>
    <d v="2015-03-14T00:00:00"/>
    <n v="2015"/>
    <s v="ODI"/>
    <n v="233"/>
    <n v="10052"/>
  </r>
  <r>
    <n v="245"/>
    <n v="3"/>
    <x v="4"/>
    <x v="4"/>
    <s v="Melbourne"/>
    <d v="2015-03-19T00:00:00"/>
    <s v="Qtr 1"/>
    <d v="2015-03-19T00:00:00"/>
    <n v="2015"/>
    <s v="ODI"/>
    <n v="234"/>
    <n v="10055"/>
  </r>
  <r>
    <n v="246"/>
    <n v="1"/>
    <x v="3"/>
    <x v="3"/>
    <s v="Sydney"/>
    <d v="2015-03-26T00:00:00"/>
    <s v="Qtr 1"/>
    <d v="2015-03-26T00:00:00"/>
    <n v="2015"/>
    <s v="ODI"/>
    <n v="235"/>
    <n v="10056"/>
  </r>
  <r>
    <n v="247"/>
    <n v="14"/>
    <x v="4"/>
    <x v="4"/>
    <s v="Fatullah"/>
    <d v="2015-06-10T00:00:00"/>
    <s v="Qtr 2"/>
    <d v="2015-06-10T00:00:00"/>
    <n v="2015"/>
    <s v="Test"/>
    <n v="236"/>
    <n v="10070"/>
  </r>
  <r>
    <n v="248"/>
    <n v="1"/>
    <x v="4"/>
    <x v="4"/>
    <s v="Mirpur"/>
    <d v="2015-06-18T00:00:00"/>
    <s v="Qtr 2"/>
    <d v="2015-06-18T00:00:00"/>
    <n v="2015"/>
    <s v="ODI"/>
    <n v="237"/>
    <n v="10071"/>
  </r>
  <r>
    <n v="249"/>
    <n v="23"/>
    <x v="4"/>
    <x v="4"/>
    <s v="Mirpur"/>
    <d v="2015-06-21T00:00:00"/>
    <s v="Qtr 2"/>
    <d v="2015-06-21T00:00:00"/>
    <n v="2015"/>
    <s v="ODI"/>
    <n v="238"/>
    <n v="10094"/>
  </r>
  <r>
    <n v="250"/>
    <n v="25"/>
    <x v="4"/>
    <x v="4"/>
    <s v="Mirpur"/>
    <d v="2015-06-24T00:00:00"/>
    <s v="Qtr 2"/>
    <d v="2015-06-24T00:00:00"/>
    <n v="2015"/>
    <s v="ODI"/>
    <n v="239"/>
    <n v="10119"/>
  </r>
  <r>
    <n v="251"/>
    <n v="103"/>
    <x v="0"/>
    <x v="0"/>
    <s v="Galle"/>
    <d v="2015-08-12T00:00:00"/>
    <s v="Qtr 3"/>
    <d v="2015-08-12T00:00:00"/>
    <n v="2015"/>
    <s v="Test"/>
    <n v="240"/>
    <n v="10222"/>
  </r>
  <r>
    <n v="252"/>
    <n v="3"/>
    <x v="0"/>
    <x v="0"/>
    <s v="Galle"/>
    <d v="2015-08-12T00:00:00"/>
    <s v="Qtr 3"/>
    <d v="2015-08-12T00:00:00"/>
    <n v="2015"/>
    <s v="Test"/>
    <n v="241"/>
    <n v="10225"/>
  </r>
  <r>
    <n v="253"/>
    <n v="78"/>
    <x v="0"/>
    <x v="0"/>
    <s v="Colombo(PSS)"/>
    <d v="2015-08-20T00:00:00"/>
    <s v="Qtr 3"/>
    <d v="2015-08-20T00:00:00"/>
    <n v="2015"/>
    <s v="Test"/>
    <n v="242"/>
    <n v="10303"/>
  </r>
  <r>
    <n v="254"/>
    <n v="10"/>
    <x v="0"/>
    <x v="0"/>
    <s v="Colombo(PSS)"/>
    <d v="2015-08-20T00:00:00"/>
    <s v="Qtr 3"/>
    <d v="2015-08-20T00:00:00"/>
    <n v="2015"/>
    <s v="Test"/>
    <n v="243"/>
    <n v="10313"/>
  </r>
  <r>
    <n v="255"/>
    <n v="18"/>
    <x v="0"/>
    <x v="0"/>
    <s v="Colombo(SSC)"/>
    <d v="2015-08-28T00:00:00"/>
    <s v="Qtr 3"/>
    <d v="2015-08-28T00:00:00"/>
    <n v="2015"/>
    <s v="Test"/>
    <n v="244"/>
    <n v="10331"/>
  </r>
  <r>
    <n v="256"/>
    <n v="21"/>
    <x v="0"/>
    <x v="0"/>
    <s v="Colombo(SSC)"/>
    <d v="2015-08-28T00:00:00"/>
    <s v="Qtr 3"/>
    <d v="2015-08-28T00:00:00"/>
    <n v="2015"/>
    <s v="Test"/>
    <n v="245"/>
    <n v="10352"/>
  </r>
  <r>
    <n v="257"/>
    <n v="43"/>
    <x v="5"/>
    <x v="5"/>
    <s v="Dharamsala"/>
    <d v="2015-10-02T00:00:00"/>
    <s v="Qtr 4"/>
    <d v="2015-10-02T00:00:00"/>
    <n v="2015"/>
    <s v="T20"/>
    <n v="246"/>
    <n v="10395"/>
  </r>
  <r>
    <n v="258"/>
    <n v="1"/>
    <x v="5"/>
    <x v="5"/>
    <s v="Cuttack"/>
    <d v="2015-10-05T00:00:00"/>
    <s v="Qtr 4"/>
    <d v="2015-10-05T00:00:00"/>
    <n v="2015"/>
    <s v="T20"/>
    <n v="247"/>
    <n v="10396"/>
  </r>
  <r>
    <n v="259"/>
    <n v="11"/>
    <x v="5"/>
    <x v="5"/>
    <s v="Kanpur"/>
    <d v="2015-10-11T00:00:00"/>
    <s v="Qtr 4"/>
    <d v="2015-10-11T00:00:00"/>
    <n v="2015"/>
    <s v="ODI"/>
    <n v="248"/>
    <n v="10407"/>
  </r>
  <r>
    <n v="260"/>
    <n v="12"/>
    <x v="5"/>
    <x v="5"/>
    <s v="Indore"/>
    <d v="2015-10-14T00:00:00"/>
    <s v="Qtr 4"/>
    <d v="2015-10-14T00:00:00"/>
    <n v="2015"/>
    <s v="ODI"/>
    <n v="249"/>
    <n v="10419"/>
  </r>
  <r>
    <n v="261"/>
    <n v="77"/>
    <x v="5"/>
    <x v="5"/>
    <s v="Rajkot"/>
    <d v="2015-10-18T00:00:00"/>
    <s v="Qtr 4"/>
    <d v="2015-10-18T00:00:00"/>
    <n v="2015"/>
    <s v="ODI"/>
    <n v="250"/>
    <n v="10496"/>
  </r>
  <r>
    <n v="262"/>
    <n v="138"/>
    <x v="5"/>
    <x v="5"/>
    <s v="Chennai"/>
    <d v="2015-10-22T00:00:00"/>
    <s v="Qtr 4"/>
    <d v="2015-10-22T00:00:00"/>
    <n v="2015"/>
    <s v="ODI"/>
    <n v="251"/>
    <n v="10634"/>
  </r>
  <r>
    <n v="263"/>
    <n v="7"/>
    <x v="5"/>
    <x v="5"/>
    <s v="Wankhede"/>
    <d v="2015-10-25T00:00:00"/>
    <s v="Qtr 4"/>
    <d v="2015-10-25T00:00:00"/>
    <n v="2015"/>
    <s v="ODI"/>
    <n v="252"/>
    <n v="10641"/>
  </r>
  <r>
    <n v="264"/>
    <n v="1"/>
    <x v="5"/>
    <x v="5"/>
    <s v="Mohali"/>
    <d v="2015-11-05T00:00:00"/>
    <s v="Qtr 4"/>
    <d v="2015-11-05T00:00:00"/>
    <n v="2015"/>
    <s v="Test"/>
    <n v="253"/>
    <n v="10642"/>
  </r>
  <r>
    <n v="265"/>
    <n v="29"/>
    <x v="5"/>
    <x v="5"/>
    <s v="Mohali"/>
    <d v="2015-11-05T00:00:00"/>
    <s v="Qtr 4"/>
    <d v="2015-11-05T00:00:00"/>
    <n v="2015"/>
    <s v="Test"/>
    <n v="254"/>
    <n v="10671"/>
  </r>
  <r>
    <n v="267"/>
    <n v="22"/>
    <x v="5"/>
    <x v="5"/>
    <s v="Nagpur"/>
    <d v="2015-11-25T00:00:00"/>
    <s v="Qtr 4"/>
    <d v="2015-11-25T00:00:00"/>
    <n v="2015"/>
    <s v="Test"/>
    <n v="255"/>
    <n v="10693"/>
  </r>
  <r>
    <n v="268"/>
    <n v="16"/>
    <x v="5"/>
    <x v="5"/>
    <s v="Nagpur"/>
    <d v="2015-11-25T00:00:00"/>
    <s v="Qtr 4"/>
    <d v="2015-11-25T00:00:00"/>
    <n v="2015"/>
    <s v="Test"/>
    <n v="256"/>
    <n v="10709"/>
  </r>
  <r>
    <n v="269"/>
    <n v="44"/>
    <x v="5"/>
    <x v="5"/>
    <s v="Delhi"/>
    <d v="2015-12-03T00:00:00"/>
    <s v="Qtr 4"/>
    <d v="2015-12-03T00:00:00"/>
    <n v="2015"/>
    <s v="Test"/>
    <n v="257"/>
    <n v="10753"/>
  </r>
  <r>
    <n v="270"/>
    <n v="88"/>
    <x v="5"/>
    <x v="5"/>
    <s v="Delhi"/>
    <d v="2015-12-03T00:00:00"/>
    <s v="Qtr 4"/>
    <d v="2015-12-03T00:00:00"/>
    <n v="2015"/>
    <s v="Test"/>
    <n v="258"/>
    <n v="10841"/>
  </r>
  <r>
    <n v="271"/>
    <n v="91"/>
    <x v="3"/>
    <x v="3"/>
    <s v="Perth"/>
    <d v="2016-01-12T00:00:00"/>
    <s v="Qtr 1"/>
    <d v="2016-01-12T00:00:00"/>
    <n v="2016"/>
    <s v="ODI"/>
    <n v="259"/>
    <n v="10932"/>
  </r>
  <r>
    <n v="272"/>
    <n v="59"/>
    <x v="3"/>
    <x v="3"/>
    <s v="Brisbane"/>
    <d v="2016-01-15T00:00:00"/>
    <s v="Qtr 1"/>
    <d v="2016-01-15T00:00:00"/>
    <n v="2016"/>
    <s v="ODI"/>
    <n v="260"/>
    <n v="10991"/>
  </r>
  <r>
    <n v="273"/>
    <n v="117"/>
    <x v="3"/>
    <x v="3"/>
    <s v="Melbourne"/>
    <d v="2016-01-17T00:00:00"/>
    <s v="Qtr 1"/>
    <d v="2016-01-17T00:00:00"/>
    <n v="2016"/>
    <s v="ODI"/>
    <n v="261"/>
    <n v="11108"/>
  </r>
  <r>
    <n v="274"/>
    <n v="106"/>
    <x v="3"/>
    <x v="3"/>
    <s v="Canberra"/>
    <d v="2016-01-20T00:00:00"/>
    <s v="Qtr 1"/>
    <d v="2016-01-20T00:00:00"/>
    <n v="2016"/>
    <s v="ODI"/>
    <n v="262"/>
    <n v="11214"/>
  </r>
  <r>
    <n v="275"/>
    <n v="8"/>
    <x v="3"/>
    <x v="3"/>
    <s v="Sydney"/>
    <d v="2016-01-23T00:00:00"/>
    <s v="Qtr 1"/>
    <d v="2016-01-23T00:00:00"/>
    <n v="2016"/>
    <s v="ODI"/>
    <n v="263"/>
    <n v="11222"/>
  </r>
  <r>
    <n v="276"/>
    <n v="90"/>
    <x v="3"/>
    <x v="3"/>
    <s v="Adelaide"/>
    <d v="2016-01-26T00:00:00"/>
    <s v="Qtr 1"/>
    <d v="2016-01-26T00:00:00"/>
    <n v="2016"/>
    <s v="T20"/>
    <n v="264"/>
    <n v="11312"/>
  </r>
  <r>
    <n v="277"/>
    <n v="59"/>
    <x v="3"/>
    <x v="3"/>
    <s v="Melbourne"/>
    <d v="2016-01-29T00:00:00"/>
    <s v="Qtr 1"/>
    <d v="2016-01-29T00:00:00"/>
    <n v="2016"/>
    <s v="T20"/>
    <n v="265"/>
    <n v="11371"/>
  </r>
  <r>
    <n v="278"/>
    <n v="50"/>
    <x v="3"/>
    <x v="3"/>
    <s v="Sydney"/>
    <d v="2016-01-31T00:00:00"/>
    <s v="Qtr 1"/>
    <d v="2016-01-31T00:00:00"/>
    <n v="2016"/>
    <s v="T20"/>
    <n v="266"/>
    <n v="11421"/>
  </r>
  <r>
    <n v="279"/>
    <n v="7"/>
    <x v="4"/>
    <x v="4"/>
    <s v="Mirpur"/>
    <d v="2016-02-24T00:00:00"/>
    <s v="Qtr 1"/>
    <d v="2016-02-24T00:00:00"/>
    <n v="2016"/>
    <s v="T20"/>
    <n v="267"/>
    <n v="11428"/>
  </r>
  <r>
    <n v="280"/>
    <n v="49"/>
    <x v="1"/>
    <x v="1"/>
    <s v="Mirpur"/>
    <d v="2016-02-27T00:00:00"/>
    <s v="Qtr 1"/>
    <d v="2016-02-27T00:00:00"/>
    <n v="2016"/>
    <s v="T20"/>
    <n v="268"/>
    <n v="11477"/>
  </r>
  <r>
    <n v="281"/>
    <n v="56"/>
    <x v="0"/>
    <x v="0"/>
    <s v="Mirpur"/>
    <d v="2016-03-01T00:00:00"/>
    <s v="Qtr 1"/>
    <d v="2016-03-01T00:00:00"/>
    <n v="2016"/>
    <s v="T20"/>
    <n v="269"/>
    <n v="11533"/>
  </r>
  <r>
    <n v="283"/>
    <n v="41"/>
    <x v="4"/>
    <x v="4"/>
    <s v="Mirpur"/>
    <d v="2016-03-06T00:00:00"/>
    <s v="Qtr 1"/>
    <d v="2016-03-06T00:00:00"/>
    <n v="2016"/>
    <s v="T20"/>
    <n v="270"/>
    <n v="11574"/>
  </r>
  <r>
    <n v="284"/>
    <n v="23"/>
    <x v="7"/>
    <x v="7"/>
    <s v="Nagpur"/>
    <d v="2016-03-15T00:00:00"/>
    <s v="Qtr 1"/>
    <d v="2016-03-15T00:00:00"/>
    <n v="2016"/>
    <s v="T20"/>
    <n v="271"/>
    <n v="11597"/>
  </r>
  <r>
    <n v="285"/>
    <n v="55"/>
    <x v="1"/>
    <x v="1"/>
    <s v="Kolkata"/>
    <d v="2016-03-19T00:00:00"/>
    <s v="Qtr 1"/>
    <d v="2016-03-19T00:00:00"/>
    <n v="2016"/>
    <s v="T20"/>
    <n v="272"/>
    <n v="11652"/>
  </r>
  <r>
    <n v="286"/>
    <n v="24"/>
    <x v="4"/>
    <x v="4"/>
    <s v="Bengaluru"/>
    <d v="2016-03-23T00:00:00"/>
    <s v="Qtr 1"/>
    <d v="2016-03-23T00:00:00"/>
    <n v="2016"/>
    <s v="T20"/>
    <n v="273"/>
    <n v="11676"/>
  </r>
  <r>
    <n v="287"/>
    <n v="82"/>
    <x v="3"/>
    <x v="3"/>
    <s v="Mohali"/>
    <d v="2016-03-27T00:00:00"/>
    <s v="Qtr 1"/>
    <d v="2016-03-27T00:00:00"/>
    <n v="2016"/>
    <s v="T20"/>
    <n v="274"/>
    <n v="11758"/>
  </r>
  <r>
    <n v="288"/>
    <n v="89"/>
    <x v="2"/>
    <x v="2"/>
    <s v="Wankhede"/>
    <d v="2016-03-31T00:00:00"/>
    <s v="Qtr 1"/>
    <d v="2016-03-31T00:00:00"/>
    <n v="2016"/>
    <s v="T20"/>
    <n v="275"/>
    <n v="11847"/>
  </r>
  <r>
    <n v="289"/>
    <n v="200"/>
    <x v="2"/>
    <x v="2"/>
    <s v="NorthSound"/>
    <d v="2016-07-21T00:00:00"/>
    <s v="Qtr 3"/>
    <d v="2016-07-21T00:00:00"/>
    <n v="2016"/>
    <s v="Test"/>
    <n v="276"/>
    <n v="12047"/>
  </r>
  <r>
    <n v="290"/>
    <n v="44"/>
    <x v="2"/>
    <x v="2"/>
    <s v="Kingston"/>
    <d v="2016-07-30T00:00:00"/>
    <s v="Qtr 3"/>
    <d v="2016-07-30T00:00:00"/>
    <n v="2016"/>
    <s v="Test"/>
    <n v="277"/>
    <n v="12091"/>
  </r>
  <r>
    <n v="291"/>
    <n v="3"/>
    <x v="2"/>
    <x v="2"/>
    <s v="GrosIslet"/>
    <d v="2016-08-09T00:00:00"/>
    <s v="Qtr 3"/>
    <d v="2016-08-09T00:00:00"/>
    <n v="2016"/>
    <s v="Test"/>
    <n v="278"/>
    <n v="12094"/>
  </r>
  <r>
    <n v="292"/>
    <n v="4"/>
    <x v="2"/>
    <x v="2"/>
    <s v="GrosIslet"/>
    <d v="2016-08-09T00:00:00"/>
    <s v="Qtr 3"/>
    <d v="2016-08-09T00:00:00"/>
    <n v="2016"/>
    <s v="Test"/>
    <n v="279"/>
    <n v="12098"/>
  </r>
  <r>
    <n v="294"/>
    <n v="16"/>
    <x v="2"/>
    <x v="2"/>
    <s v="Lauderhill"/>
    <d v="2016-08-27T00:00:00"/>
    <s v="Qtr 3"/>
    <d v="2016-08-27T00:00:00"/>
    <n v="2016"/>
    <s v="T20"/>
    <n v="280"/>
    <n v="12114"/>
  </r>
  <r>
    <n v="296"/>
    <n v="9"/>
    <x v="7"/>
    <x v="7"/>
    <s v="Kanpur"/>
    <d v="2016-09-22T00:00:00"/>
    <s v="Qtr 3"/>
    <d v="2016-09-22T00:00:00"/>
    <n v="2016"/>
    <s v="Test"/>
    <n v="281"/>
    <n v="12123"/>
  </r>
  <r>
    <n v="297"/>
    <n v="18"/>
    <x v="7"/>
    <x v="7"/>
    <s v="Kanpur"/>
    <d v="2016-09-22T00:00:00"/>
    <s v="Qtr 3"/>
    <d v="2016-09-22T00:00:00"/>
    <n v="2016"/>
    <s v="Test"/>
    <n v="282"/>
    <n v="12141"/>
  </r>
  <r>
    <n v="298"/>
    <n v="9"/>
    <x v="7"/>
    <x v="7"/>
    <s v="Kolkata"/>
    <d v="2016-09-30T00:00:00"/>
    <s v="Qtr 3"/>
    <d v="2016-09-30T00:00:00"/>
    <n v="2016"/>
    <s v="Test"/>
    <n v="283"/>
    <n v="12150"/>
  </r>
  <r>
    <n v="299"/>
    <n v="45"/>
    <x v="7"/>
    <x v="7"/>
    <s v="Kolkata"/>
    <d v="2016-09-30T00:00:00"/>
    <s v="Qtr 3"/>
    <d v="2016-09-30T00:00:00"/>
    <n v="2016"/>
    <s v="Test"/>
    <n v="284"/>
    <n v="12195"/>
  </r>
  <r>
    <n v="300"/>
    <n v="211"/>
    <x v="7"/>
    <x v="7"/>
    <s v="Indore"/>
    <d v="2016-10-08T00:00:00"/>
    <s v="Qtr 4"/>
    <d v="2016-10-08T00:00:00"/>
    <n v="2016"/>
    <s v="Test"/>
    <n v="285"/>
    <n v="12406"/>
  </r>
  <r>
    <n v="301"/>
    <n v="17"/>
    <x v="7"/>
    <x v="7"/>
    <s v="Indore"/>
    <d v="2016-10-08T00:00:00"/>
    <s v="Qtr 4"/>
    <d v="2016-10-08T00:00:00"/>
    <n v="2016"/>
    <s v="Test"/>
    <n v="286"/>
    <n v="12423"/>
  </r>
  <r>
    <n v="302"/>
    <n v="85"/>
    <x v="7"/>
    <x v="7"/>
    <s v="Dharamsala"/>
    <d v="2016-10-16T00:00:00"/>
    <s v="Qtr 4"/>
    <d v="2016-10-16T00:00:00"/>
    <n v="2016"/>
    <s v="ODI"/>
    <n v="287"/>
    <n v="12508"/>
  </r>
  <r>
    <n v="303"/>
    <n v="9"/>
    <x v="7"/>
    <x v="7"/>
    <s v="Delhi"/>
    <d v="2016-10-20T00:00:00"/>
    <s v="Qtr 4"/>
    <d v="2016-10-20T00:00:00"/>
    <n v="2016"/>
    <s v="ODI"/>
    <n v="288"/>
    <n v="12517"/>
  </r>
  <r>
    <n v="304"/>
    <n v="154"/>
    <x v="7"/>
    <x v="7"/>
    <s v="Mohali"/>
    <d v="2016-10-23T00:00:00"/>
    <s v="Qtr 4"/>
    <d v="2016-10-23T00:00:00"/>
    <n v="2016"/>
    <s v="ODI"/>
    <n v="289"/>
    <n v="12671"/>
  </r>
  <r>
    <n v="305"/>
    <n v="45"/>
    <x v="7"/>
    <x v="7"/>
    <s v="Ranchi"/>
    <d v="2016-10-26T00:00:00"/>
    <s v="Qtr 4"/>
    <d v="2016-10-26T00:00:00"/>
    <n v="2016"/>
    <s v="ODI"/>
    <n v="290"/>
    <n v="12716"/>
  </r>
  <r>
    <n v="306"/>
    <n v="65"/>
    <x v="7"/>
    <x v="7"/>
    <s v="Visakhapatnam"/>
    <d v="2016-10-29T00:00:00"/>
    <s v="Qtr 4"/>
    <d v="2016-10-29T00:00:00"/>
    <n v="2016"/>
    <s v="ODI"/>
    <n v="291"/>
    <n v="12781"/>
  </r>
  <r>
    <n v="307"/>
    <n v="40"/>
    <x v="8"/>
    <x v="8"/>
    <s v="Rajkot"/>
    <d v="2016-11-09T00:00:00"/>
    <s v="Qtr 4"/>
    <d v="2016-11-09T00:00:00"/>
    <n v="2016"/>
    <s v="Test"/>
    <n v="292"/>
    <n v="12821"/>
  </r>
  <r>
    <n v="308"/>
    <n v="49"/>
    <x v="8"/>
    <x v="8"/>
    <s v="Rajkot"/>
    <d v="2016-11-09T00:00:00"/>
    <s v="Qtr 4"/>
    <d v="2016-11-09T00:00:00"/>
    <n v="2016"/>
    <s v="Test"/>
    <n v="293"/>
    <n v="12870"/>
  </r>
  <r>
    <n v="309"/>
    <n v="167"/>
    <x v="8"/>
    <x v="8"/>
    <s v="Visakhapatnam"/>
    <d v="2016-11-17T00:00:00"/>
    <s v="Qtr 4"/>
    <d v="2016-11-17T00:00:00"/>
    <n v="2016"/>
    <s v="Test"/>
    <n v="294"/>
    <n v="13037"/>
  </r>
  <r>
    <n v="310"/>
    <n v="81"/>
    <x v="8"/>
    <x v="8"/>
    <s v="Visakhapatnam"/>
    <d v="2016-11-17T00:00:00"/>
    <s v="Qtr 4"/>
    <d v="2016-11-17T00:00:00"/>
    <n v="2016"/>
    <s v="Test"/>
    <n v="295"/>
    <n v="13118"/>
  </r>
  <r>
    <n v="311"/>
    <n v="62"/>
    <x v="8"/>
    <x v="8"/>
    <s v="Mohali"/>
    <d v="2016-11-26T00:00:00"/>
    <s v="Qtr 4"/>
    <d v="2016-11-26T00:00:00"/>
    <n v="2016"/>
    <s v="Test"/>
    <n v="296"/>
    <n v="13180"/>
  </r>
  <r>
    <n v="312"/>
    <n v="6"/>
    <x v="8"/>
    <x v="8"/>
    <s v="Mohali"/>
    <d v="2016-11-26T00:00:00"/>
    <s v="Qtr 4"/>
    <d v="2016-11-26T00:00:00"/>
    <n v="2016"/>
    <s v="Test"/>
    <n v="297"/>
    <n v="13186"/>
  </r>
  <r>
    <n v="313"/>
    <n v="235"/>
    <x v="8"/>
    <x v="8"/>
    <s v="Wankhede"/>
    <d v="2016-12-08T00:00:00"/>
    <s v="Qtr 4"/>
    <d v="2016-12-08T00:00:00"/>
    <n v="2016"/>
    <s v="Test"/>
    <n v="298"/>
    <n v="13421"/>
  </r>
  <r>
    <n v="314"/>
    <n v="15"/>
    <x v="8"/>
    <x v="8"/>
    <s v="Chennai"/>
    <d v="2016-12-16T00:00:00"/>
    <s v="Qtr 4"/>
    <d v="2016-12-16T00:00:00"/>
    <n v="2016"/>
    <s v="Test"/>
    <n v="299"/>
    <n v="13436"/>
  </r>
  <r>
    <n v="315"/>
    <n v="122"/>
    <x v="8"/>
    <x v="8"/>
    <s v="Pune"/>
    <d v="2017-01-15T00:00:00"/>
    <s v="Qtr 1"/>
    <d v="2017-01-15T00:00:00"/>
    <n v="2017"/>
    <s v="ODI"/>
    <n v="300"/>
    <n v="13558"/>
  </r>
  <r>
    <n v="316"/>
    <n v="8"/>
    <x v="8"/>
    <x v="8"/>
    <s v="Cuttack"/>
    <d v="2017-01-19T00:00:00"/>
    <s v="Qtr 1"/>
    <d v="2017-01-19T00:00:00"/>
    <n v="2017"/>
    <s v="ODI"/>
    <n v="301"/>
    <n v="13566"/>
  </r>
  <r>
    <n v="317"/>
    <n v="55"/>
    <x v="8"/>
    <x v="8"/>
    <s v="Kolkata"/>
    <d v="2017-01-22T00:00:00"/>
    <s v="Qtr 1"/>
    <d v="2017-01-22T00:00:00"/>
    <n v="2017"/>
    <s v="ODI"/>
    <n v="302"/>
    <n v="13621"/>
  </r>
  <r>
    <n v="318"/>
    <n v="29"/>
    <x v="8"/>
    <x v="8"/>
    <s v="Kanpur"/>
    <d v="2017-01-26T00:00:00"/>
    <s v="Qtr 1"/>
    <d v="2017-01-26T00:00:00"/>
    <n v="2017"/>
    <s v="T20"/>
    <n v="303"/>
    <n v="13650"/>
  </r>
  <r>
    <n v="319"/>
    <n v="21"/>
    <x v="8"/>
    <x v="8"/>
    <s v="Nagpur"/>
    <d v="2017-01-29T00:00:00"/>
    <s v="Qtr 1"/>
    <d v="2017-01-29T00:00:00"/>
    <n v="2017"/>
    <s v="T20"/>
    <n v="304"/>
    <n v="13671"/>
  </r>
  <r>
    <n v="320"/>
    <n v="2"/>
    <x v="8"/>
    <x v="8"/>
    <s v="Bengaluru"/>
    <d v="2017-02-01T00:00:00"/>
    <s v="Qtr 1"/>
    <d v="2017-02-01T00:00:00"/>
    <n v="2017"/>
    <s v="T20"/>
    <n v="305"/>
    <n v="13673"/>
  </r>
  <r>
    <n v="321"/>
    <n v="204"/>
    <x v="4"/>
    <x v="4"/>
    <s v="Hyderabad(Deccan)"/>
    <d v="2017-02-09T00:00:00"/>
    <s v="Qtr 1"/>
    <d v="2017-02-09T00:00:00"/>
    <n v="2017"/>
    <s v="Test"/>
    <n v="306"/>
    <n v="13877"/>
  </r>
  <r>
    <n v="322"/>
    <n v="38"/>
    <x v="4"/>
    <x v="4"/>
    <s v="Hyderabad(Deccan)"/>
    <d v="2017-02-09T00:00:00"/>
    <s v="Qtr 1"/>
    <d v="2017-02-09T00:00:00"/>
    <n v="2017"/>
    <s v="Test"/>
    <n v="307"/>
    <n v="13915"/>
  </r>
  <r>
    <n v="323"/>
    <n v="0"/>
    <x v="3"/>
    <x v="3"/>
    <s v="Pune"/>
    <d v="2017-02-23T00:00:00"/>
    <s v="Qtr 1"/>
    <d v="2017-02-23T00:00:00"/>
    <n v="2017"/>
    <s v="Test"/>
    <n v="308"/>
    <n v="13915"/>
  </r>
  <r>
    <n v="324"/>
    <n v="13"/>
    <x v="3"/>
    <x v="3"/>
    <s v="Pune"/>
    <d v="2017-02-23T00:00:00"/>
    <s v="Qtr 1"/>
    <d v="2017-02-23T00:00:00"/>
    <n v="2017"/>
    <s v="Test"/>
    <n v="309"/>
    <n v="13928"/>
  </r>
  <r>
    <n v="325"/>
    <n v="12"/>
    <x v="3"/>
    <x v="3"/>
    <s v="Bengaluru"/>
    <d v="2017-03-04T00:00:00"/>
    <s v="Qtr 1"/>
    <d v="2017-03-04T00:00:00"/>
    <n v="2017"/>
    <s v="Test"/>
    <n v="310"/>
    <n v="13940"/>
  </r>
  <r>
    <n v="326"/>
    <n v="15"/>
    <x v="3"/>
    <x v="3"/>
    <s v="Bengaluru"/>
    <d v="2017-03-04T00:00:00"/>
    <s v="Qtr 1"/>
    <d v="2017-03-04T00:00:00"/>
    <n v="2017"/>
    <s v="Test"/>
    <n v="311"/>
    <n v="13955"/>
  </r>
  <r>
    <n v="327"/>
    <n v="6"/>
    <x v="3"/>
    <x v="3"/>
    <s v="Ranchi"/>
    <d v="2017-03-16T00:00:00"/>
    <s v="Qtr 1"/>
    <d v="2017-03-16T00:00:00"/>
    <n v="2017"/>
    <s v="Test"/>
    <n v="312"/>
    <n v="13961"/>
  </r>
  <r>
    <n v="328"/>
    <n v="81"/>
    <x v="1"/>
    <x v="1"/>
    <s v="Birmingham"/>
    <d v="2017-06-04T00:00:00"/>
    <s v="Qtr 2"/>
    <d v="2017-06-04T00:00:00"/>
    <n v="2017"/>
    <s v="ODI"/>
    <n v="313"/>
    <n v="14042"/>
  </r>
  <r>
    <n v="329"/>
    <n v="0"/>
    <x v="0"/>
    <x v="0"/>
    <s v="TheOval"/>
    <d v="2017-06-08T00:00:00"/>
    <s v="Qtr 2"/>
    <d v="2017-06-08T00:00:00"/>
    <n v="2017"/>
    <s v="ODI"/>
    <n v="314"/>
    <n v="14042"/>
  </r>
  <r>
    <n v="330"/>
    <n v="76"/>
    <x v="5"/>
    <x v="5"/>
    <s v="TheOval"/>
    <d v="2017-06-11T00:00:00"/>
    <s v="Qtr 2"/>
    <d v="2017-06-11T00:00:00"/>
    <n v="2017"/>
    <s v="ODI"/>
    <n v="315"/>
    <n v="14118"/>
  </r>
  <r>
    <n v="331"/>
    <n v="96"/>
    <x v="4"/>
    <x v="4"/>
    <s v="Birmingham"/>
    <d v="2017-06-15T00:00:00"/>
    <s v="Qtr 2"/>
    <d v="2017-06-15T00:00:00"/>
    <n v="2017"/>
    <s v="ODI"/>
    <n v="316"/>
    <n v="14214"/>
  </r>
  <r>
    <n v="332"/>
    <n v="5"/>
    <x v="1"/>
    <x v="1"/>
    <s v="TheOval"/>
    <d v="2017-06-18T00:00:00"/>
    <s v="Qtr 2"/>
    <d v="2017-06-18T00:00:00"/>
    <n v="2017"/>
    <s v="ODI"/>
    <n v="317"/>
    <n v="14219"/>
  </r>
  <r>
    <n v="333"/>
    <n v="32"/>
    <x v="2"/>
    <x v="2"/>
    <s v="PortofSpain"/>
    <d v="2017-06-23T00:00:00"/>
    <s v="Qtr 2"/>
    <d v="2017-06-23T00:00:00"/>
    <n v="2017"/>
    <s v="ODI"/>
    <n v="318"/>
    <n v="14251"/>
  </r>
  <r>
    <n v="334"/>
    <n v="87"/>
    <x v="2"/>
    <x v="2"/>
    <s v="PortofSpain"/>
    <d v="2017-06-25T00:00:00"/>
    <s v="Qtr 2"/>
    <d v="2017-06-25T00:00:00"/>
    <n v="2017"/>
    <s v="ODI"/>
    <n v="319"/>
    <n v="14338"/>
  </r>
  <r>
    <n v="335"/>
    <n v="11"/>
    <x v="2"/>
    <x v="2"/>
    <s v="NorthSound"/>
    <d v="2017-06-30T00:00:00"/>
    <s v="Qtr 2"/>
    <d v="2017-06-30T00:00:00"/>
    <n v="2017"/>
    <s v="ODI"/>
    <n v="320"/>
    <n v="14349"/>
  </r>
  <r>
    <n v="336"/>
    <n v="3"/>
    <x v="2"/>
    <x v="2"/>
    <s v="NorthSound"/>
    <d v="2017-07-02T00:00:00"/>
    <s v="Qtr 3"/>
    <d v="2017-07-02T00:00:00"/>
    <n v="2017"/>
    <s v="ODI"/>
    <n v="321"/>
    <n v="14352"/>
  </r>
  <r>
    <n v="337"/>
    <n v="111"/>
    <x v="2"/>
    <x v="2"/>
    <s v="Kingston"/>
    <d v="2017-07-06T00:00:00"/>
    <s v="Qtr 3"/>
    <d v="2017-07-06T00:00:00"/>
    <n v="2017"/>
    <s v="ODI"/>
    <n v="322"/>
    <n v="14463"/>
  </r>
  <r>
    <n v="338"/>
    <n v="39"/>
    <x v="2"/>
    <x v="2"/>
    <s v="Kingston"/>
    <d v="2017-07-09T00:00:00"/>
    <s v="Qtr 3"/>
    <d v="2017-07-09T00:00:00"/>
    <n v="2017"/>
    <s v="T20"/>
    <n v="323"/>
    <n v="14502"/>
  </r>
  <r>
    <n v="339"/>
    <n v="3"/>
    <x v="0"/>
    <x v="0"/>
    <s v="Galle"/>
    <d v="2017-07-26T00:00:00"/>
    <s v="Qtr 3"/>
    <d v="2017-07-26T00:00:00"/>
    <n v="2017"/>
    <s v="Test"/>
    <n v="324"/>
    <n v="14505"/>
  </r>
  <r>
    <n v="340"/>
    <n v="103"/>
    <x v="0"/>
    <x v="0"/>
    <s v="Galle"/>
    <d v="2017-07-26T00:00:00"/>
    <s v="Qtr 3"/>
    <d v="2017-07-26T00:00:00"/>
    <n v="2017"/>
    <s v="Test"/>
    <n v="325"/>
    <n v="14608"/>
  </r>
  <r>
    <n v="341"/>
    <n v="13"/>
    <x v="0"/>
    <x v="0"/>
    <s v="Colombo(SSC)"/>
    <d v="2017-08-03T00:00:00"/>
    <s v="Qtr 3"/>
    <d v="2017-08-03T00:00:00"/>
    <n v="2017"/>
    <s v="Test"/>
    <n v="326"/>
    <n v="14621"/>
  </r>
  <r>
    <n v="342"/>
    <n v="42"/>
    <x v="0"/>
    <x v="0"/>
    <s v="Pallekele"/>
    <d v="2017-08-12T00:00:00"/>
    <s v="Qtr 3"/>
    <d v="2017-08-12T00:00:00"/>
    <n v="2017"/>
    <s v="Test"/>
    <n v="327"/>
    <n v="14663"/>
  </r>
  <r>
    <n v="343"/>
    <n v="82"/>
    <x v="0"/>
    <x v="0"/>
    <s v="Dambulla"/>
    <d v="2017-08-20T00:00:00"/>
    <s v="Qtr 3"/>
    <d v="2017-08-20T00:00:00"/>
    <n v="2017"/>
    <s v="ODI"/>
    <n v="328"/>
    <n v="14745"/>
  </r>
  <r>
    <n v="344"/>
    <n v="4"/>
    <x v="0"/>
    <x v="0"/>
    <s v="Pallekele"/>
    <d v="2017-08-24T00:00:00"/>
    <s v="Qtr 3"/>
    <d v="2017-08-24T00:00:00"/>
    <n v="2017"/>
    <s v="ODI"/>
    <n v="329"/>
    <n v="14749"/>
  </r>
  <r>
    <n v="345"/>
    <n v="3"/>
    <x v="0"/>
    <x v="0"/>
    <s v="Pallekele"/>
    <d v="2017-08-27T00:00:00"/>
    <s v="Qtr 3"/>
    <d v="2017-08-27T00:00:00"/>
    <n v="2017"/>
    <s v="ODI"/>
    <n v="330"/>
    <n v="14752"/>
  </r>
  <r>
    <n v="346"/>
    <n v="131"/>
    <x v="0"/>
    <x v="0"/>
    <s v="Colombo(RPS)"/>
    <d v="2017-08-31T00:00:00"/>
    <s v="Qtr 3"/>
    <d v="2017-08-31T00:00:00"/>
    <n v="2017"/>
    <s v="ODI"/>
    <n v="331"/>
    <n v="14883"/>
  </r>
  <r>
    <n v="347"/>
    <n v="110"/>
    <x v="0"/>
    <x v="0"/>
    <s v="Colombo(RPS)"/>
    <d v="2017-09-03T00:00:00"/>
    <s v="Qtr 3"/>
    <d v="2017-09-03T00:00:00"/>
    <n v="2017"/>
    <s v="ODI"/>
    <n v="332"/>
    <n v="14993"/>
  </r>
  <r>
    <n v="348"/>
    <n v="82"/>
    <x v="0"/>
    <x v="0"/>
    <s v="Colombo(RPS)"/>
    <d v="2017-09-06T00:00:00"/>
    <s v="Qtr 3"/>
    <d v="2017-09-06T00:00:00"/>
    <n v="2017"/>
    <s v="T20"/>
    <n v="333"/>
    <n v="15075"/>
  </r>
  <r>
    <n v="349"/>
    <n v="0"/>
    <x v="3"/>
    <x v="3"/>
    <s v="Chennai"/>
    <d v="2017-09-17T00:00:00"/>
    <s v="Qtr 3"/>
    <d v="2017-09-17T00:00:00"/>
    <n v="2017"/>
    <s v="ODI"/>
    <n v="334"/>
    <n v="15075"/>
  </r>
  <r>
    <n v="350"/>
    <n v="92"/>
    <x v="3"/>
    <x v="3"/>
    <s v="Kolkata"/>
    <d v="2017-09-21T00:00:00"/>
    <s v="Qtr 3"/>
    <d v="2017-09-21T00:00:00"/>
    <n v="2017"/>
    <s v="ODI"/>
    <n v="335"/>
    <n v="15167"/>
  </r>
  <r>
    <n v="351"/>
    <n v="28"/>
    <x v="3"/>
    <x v="3"/>
    <s v="Indore"/>
    <d v="2017-09-24T00:00:00"/>
    <s v="Qtr 3"/>
    <d v="2017-09-24T00:00:00"/>
    <n v="2017"/>
    <s v="ODI"/>
    <n v="336"/>
    <n v="15195"/>
  </r>
  <r>
    <n v="352"/>
    <n v="21"/>
    <x v="3"/>
    <x v="3"/>
    <s v="Bengaluru"/>
    <d v="2017-09-28T00:00:00"/>
    <s v="Qtr 3"/>
    <d v="2017-09-28T00:00:00"/>
    <n v="2017"/>
    <s v="ODI"/>
    <n v="337"/>
    <n v="15216"/>
  </r>
  <r>
    <n v="353"/>
    <n v="39"/>
    <x v="3"/>
    <x v="3"/>
    <s v="Nagpur"/>
    <d v="2017-10-01T00:00:00"/>
    <s v="Qtr 4"/>
    <d v="2017-10-01T00:00:00"/>
    <n v="2017"/>
    <s v="ODI"/>
    <n v="338"/>
    <n v="15255"/>
  </r>
  <r>
    <n v="354"/>
    <n v="22"/>
    <x v="3"/>
    <x v="3"/>
    <s v="Ranchi"/>
    <d v="2017-10-07T00:00:00"/>
    <s v="Qtr 4"/>
    <d v="2017-10-07T00:00:00"/>
    <n v="2017"/>
    <s v="T20"/>
    <n v="339"/>
    <n v="15277"/>
  </r>
  <r>
    <n v="355"/>
    <n v="0"/>
    <x v="3"/>
    <x v="3"/>
    <s v="Guwahati"/>
    <d v="2017-10-10T00:00:00"/>
    <s v="Qtr 4"/>
    <d v="2017-10-10T00:00:00"/>
    <n v="2017"/>
    <s v="T20"/>
    <n v="340"/>
    <n v="15277"/>
  </r>
  <r>
    <n v="356"/>
    <n v="121"/>
    <x v="7"/>
    <x v="7"/>
    <s v="Wankhede"/>
    <d v="2017-10-22T00:00:00"/>
    <s v="Qtr 4"/>
    <d v="2017-10-22T00:00:00"/>
    <n v="2017"/>
    <s v="ODI"/>
    <n v="341"/>
    <n v="15398"/>
  </r>
  <r>
    <n v="357"/>
    <n v="29"/>
    <x v="7"/>
    <x v="7"/>
    <s v="Pune"/>
    <d v="2017-10-25T00:00:00"/>
    <s v="Qtr 4"/>
    <d v="2017-10-25T00:00:00"/>
    <n v="2017"/>
    <s v="ODI"/>
    <n v="342"/>
    <n v="15427"/>
  </r>
  <r>
    <n v="358"/>
    <n v="113"/>
    <x v="7"/>
    <x v="7"/>
    <s v="Kanpur"/>
    <d v="2017-10-29T00:00:00"/>
    <s v="Qtr 4"/>
    <d v="2017-10-29T00:00:00"/>
    <n v="2017"/>
    <s v="ODI"/>
    <n v="343"/>
    <n v="15540"/>
  </r>
  <r>
    <n v="359"/>
    <n v="26"/>
    <x v="7"/>
    <x v="7"/>
    <s v="Delhi"/>
    <d v="2017-11-01T00:00:00"/>
    <s v="Qtr 4"/>
    <d v="2017-11-01T00:00:00"/>
    <n v="2017"/>
    <s v="T20"/>
    <n v="344"/>
    <n v="15566"/>
  </r>
  <r>
    <n v="360"/>
    <n v="65"/>
    <x v="7"/>
    <x v="7"/>
    <s v="Rajkot"/>
    <d v="2017-11-04T00:00:00"/>
    <s v="Qtr 4"/>
    <d v="2017-11-04T00:00:00"/>
    <n v="2017"/>
    <s v="T20"/>
    <n v="345"/>
    <n v="15631"/>
  </r>
  <r>
    <n v="361"/>
    <n v="13"/>
    <x v="7"/>
    <x v="7"/>
    <s v="Thiruvananthapuram"/>
    <d v="2017-11-07T00:00:00"/>
    <s v="Qtr 4"/>
    <d v="2017-11-07T00:00:00"/>
    <n v="2017"/>
    <s v="T20"/>
    <n v="346"/>
    <n v="15644"/>
  </r>
  <r>
    <n v="362"/>
    <n v="0"/>
    <x v="0"/>
    <x v="0"/>
    <s v="Kolkata"/>
    <d v="2017-11-16T00:00:00"/>
    <s v="Qtr 4"/>
    <d v="2017-11-16T00:00:00"/>
    <n v="2017"/>
    <s v="Test"/>
    <n v="347"/>
    <n v="15644"/>
  </r>
  <r>
    <n v="363"/>
    <n v="104"/>
    <x v="0"/>
    <x v="0"/>
    <s v="Kolkata"/>
    <d v="2017-11-16T00:00:00"/>
    <s v="Qtr 4"/>
    <d v="2017-11-16T00:00:00"/>
    <n v="2017"/>
    <s v="Test"/>
    <n v="348"/>
    <n v="15748"/>
  </r>
  <r>
    <n v="364"/>
    <n v="213"/>
    <x v="0"/>
    <x v="0"/>
    <s v="Nagpur"/>
    <d v="2017-11-24T00:00:00"/>
    <s v="Qtr 4"/>
    <d v="2017-11-24T00:00:00"/>
    <n v="2017"/>
    <s v="Test"/>
    <n v="349"/>
    <n v="15961"/>
  </r>
  <r>
    <n v="365"/>
    <n v="243"/>
    <x v="0"/>
    <x v="0"/>
    <s v="Delhi"/>
    <d v="2017-12-02T00:00:00"/>
    <s v="Qtr 4"/>
    <d v="2017-12-02T00:00:00"/>
    <n v="2017"/>
    <s v="Test"/>
    <n v="350"/>
    <n v="16204"/>
  </r>
  <r>
    <n v="366"/>
    <n v="50"/>
    <x v="0"/>
    <x v="0"/>
    <s v="Delhi"/>
    <d v="2017-12-02T00:00:00"/>
    <s v="Qtr 4"/>
    <d v="2017-12-02T00:00:00"/>
    <n v="2017"/>
    <s v="Test"/>
    <n v="351"/>
    <n v="16254"/>
  </r>
  <r>
    <n v="367"/>
    <n v="5"/>
    <x v="5"/>
    <x v="5"/>
    <s v="CapeTown"/>
    <d v="2018-01-05T00:00:00"/>
    <s v="Qtr 1"/>
    <d v="2018-01-05T00:00:00"/>
    <n v="2018"/>
    <s v="Test"/>
    <n v="352"/>
    <n v="16259"/>
  </r>
  <r>
    <n v="368"/>
    <n v="28"/>
    <x v="5"/>
    <x v="5"/>
    <s v="CapeTown"/>
    <d v="2018-01-05T00:00:00"/>
    <s v="Qtr 1"/>
    <d v="2018-01-05T00:00:00"/>
    <n v="2018"/>
    <s v="Test"/>
    <n v="353"/>
    <n v="16287"/>
  </r>
  <r>
    <n v="369"/>
    <n v="153"/>
    <x v="5"/>
    <x v="5"/>
    <s v="Centurion"/>
    <d v="2018-01-13T00:00:00"/>
    <s v="Qtr 1"/>
    <d v="2018-01-13T00:00:00"/>
    <n v="2018"/>
    <s v="Test"/>
    <n v="354"/>
    <n v="16440"/>
  </r>
  <r>
    <n v="370"/>
    <n v="5"/>
    <x v="5"/>
    <x v="5"/>
    <s v="Centurion"/>
    <d v="2018-01-13T00:00:00"/>
    <s v="Qtr 1"/>
    <d v="2018-01-13T00:00:00"/>
    <n v="2018"/>
    <s v="Test"/>
    <n v="355"/>
    <n v="16445"/>
  </r>
  <r>
    <n v="371"/>
    <n v="54"/>
    <x v="5"/>
    <x v="5"/>
    <s v="Johannesburg"/>
    <d v="2018-01-24T00:00:00"/>
    <s v="Qtr 1"/>
    <d v="2018-01-24T00:00:00"/>
    <n v="2018"/>
    <s v="Test"/>
    <n v="356"/>
    <n v="16499"/>
  </r>
  <r>
    <n v="372"/>
    <n v="41"/>
    <x v="5"/>
    <x v="5"/>
    <s v="Johannesburg"/>
    <d v="2018-01-24T00:00:00"/>
    <s v="Qtr 1"/>
    <d v="2018-01-24T00:00:00"/>
    <n v="2018"/>
    <s v="Test"/>
    <n v="357"/>
    <n v="16540"/>
  </r>
  <r>
    <n v="373"/>
    <n v="112"/>
    <x v="5"/>
    <x v="5"/>
    <s v="Durban"/>
    <d v="2018-02-01T00:00:00"/>
    <s v="Qtr 1"/>
    <d v="2018-02-01T00:00:00"/>
    <n v="2018"/>
    <s v="ODI"/>
    <n v="358"/>
    <n v="16652"/>
  </r>
  <r>
    <n v="374"/>
    <n v="46"/>
    <x v="5"/>
    <x v="5"/>
    <s v="Centurion"/>
    <d v="2018-02-04T00:00:00"/>
    <s v="Qtr 1"/>
    <d v="2018-02-04T00:00:00"/>
    <n v="2018"/>
    <s v="ODI"/>
    <n v="359"/>
    <n v="16698"/>
  </r>
  <r>
    <n v="375"/>
    <n v="160"/>
    <x v="5"/>
    <x v="5"/>
    <s v="CapeTown"/>
    <d v="2018-02-07T00:00:00"/>
    <s v="Qtr 1"/>
    <d v="2018-02-07T00:00:00"/>
    <n v="2018"/>
    <s v="ODI"/>
    <n v="360"/>
    <n v="16858"/>
  </r>
  <r>
    <n v="376"/>
    <n v="75"/>
    <x v="5"/>
    <x v="5"/>
    <s v="Johannesburg"/>
    <d v="2018-02-10T00:00:00"/>
    <s v="Qtr 1"/>
    <d v="2018-02-10T00:00:00"/>
    <n v="2018"/>
    <s v="ODI"/>
    <n v="361"/>
    <n v="16933"/>
  </r>
  <r>
    <n v="377"/>
    <n v="36"/>
    <x v="5"/>
    <x v="5"/>
    <s v="Gqeberha"/>
    <d v="2018-02-13T00:00:00"/>
    <s v="Qtr 1"/>
    <d v="2018-02-13T00:00:00"/>
    <n v="2018"/>
    <s v="ODI"/>
    <n v="362"/>
    <n v="16969"/>
  </r>
  <r>
    <n v="378"/>
    <n v="129"/>
    <x v="5"/>
    <x v="5"/>
    <s v="Centurion"/>
    <d v="2018-02-16T00:00:00"/>
    <s v="Qtr 1"/>
    <d v="2018-02-16T00:00:00"/>
    <n v="2018"/>
    <s v="ODI"/>
    <n v="363"/>
    <n v="17098"/>
  </r>
  <r>
    <n v="379"/>
    <n v="26"/>
    <x v="5"/>
    <x v="5"/>
    <s v="Johannesburg"/>
    <d v="2018-02-18T00:00:00"/>
    <s v="Qtr 1"/>
    <d v="2018-02-18T00:00:00"/>
    <n v="2018"/>
    <s v="T20"/>
    <n v="364"/>
    <n v="17124"/>
  </r>
  <r>
    <n v="380"/>
    <n v="1"/>
    <x v="5"/>
    <x v="5"/>
    <s v="Centurion"/>
    <d v="2018-02-21T00:00:00"/>
    <s v="Qtr 1"/>
    <d v="2018-02-21T00:00:00"/>
    <n v="2018"/>
    <s v="T20"/>
    <n v="365"/>
    <n v="17125"/>
  </r>
  <r>
    <n v="381"/>
    <n v="0"/>
    <x v="9"/>
    <x v="9"/>
    <s v="Dublin(Malahide)"/>
    <d v="2018-06-27T00:00:00"/>
    <s v="Qtr 2"/>
    <d v="2018-06-27T00:00:00"/>
    <n v="2018"/>
    <s v="T20"/>
    <n v="366"/>
    <n v="17125"/>
  </r>
  <r>
    <n v="382"/>
    <n v="9"/>
    <x v="9"/>
    <x v="9"/>
    <s v="Dublin(Malahide)"/>
    <d v="2018-06-29T00:00:00"/>
    <s v="Qtr 2"/>
    <d v="2018-06-29T00:00:00"/>
    <n v="2018"/>
    <s v="T20"/>
    <n v="367"/>
    <n v="17134"/>
  </r>
  <r>
    <n v="383"/>
    <n v="20"/>
    <x v="8"/>
    <x v="8"/>
    <s v="Manchester"/>
    <d v="2018-07-03T00:00:00"/>
    <s v="Qtr 3"/>
    <d v="2018-07-03T00:00:00"/>
    <n v="2018"/>
    <s v="T20"/>
    <n v="368"/>
    <n v="17154"/>
  </r>
  <r>
    <n v="384"/>
    <n v="47"/>
    <x v="8"/>
    <x v="8"/>
    <s v="Cardiff"/>
    <d v="2018-07-06T00:00:00"/>
    <s v="Qtr 3"/>
    <d v="2018-07-06T00:00:00"/>
    <n v="2018"/>
    <s v="T20"/>
    <n v="369"/>
    <n v="17201"/>
  </r>
  <r>
    <n v="385"/>
    <n v="43"/>
    <x v="8"/>
    <x v="8"/>
    <s v="Bristol"/>
    <d v="2018-07-08T00:00:00"/>
    <s v="Qtr 3"/>
    <d v="2018-07-08T00:00:00"/>
    <n v="2018"/>
    <s v="T20"/>
    <n v="370"/>
    <n v="17244"/>
  </r>
  <r>
    <n v="386"/>
    <n v="75"/>
    <x v="8"/>
    <x v="8"/>
    <s v="Nottingham"/>
    <d v="2018-07-12T00:00:00"/>
    <s v="Qtr 3"/>
    <d v="2018-07-12T00:00:00"/>
    <n v="2018"/>
    <s v="ODI"/>
    <n v="371"/>
    <n v="17319"/>
  </r>
  <r>
    <n v="387"/>
    <n v="45"/>
    <x v="8"/>
    <x v="8"/>
    <s v="Lord's"/>
    <d v="2018-07-14T00:00:00"/>
    <s v="Qtr 3"/>
    <d v="2018-07-14T00:00:00"/>
    <n v="2018"/>
    <s v="ODI"/>
    <n v="372"/>
    <n v="17364"/>
  </r>
  <r>
    <n v="388"/>
    <n v="71"/>
    <x v="8"/>
    <x v="8"/>
    <s v="Leeds"/>
    <d v="2018-07-17T00:00:00"/>
    <s v="Qtr 3"/>
    <d v="2018-07-17T00:00:00"/>
    <n v="2018"/>
    <s v="ODI"/>
    <n v="373"/>
    <n v="17435"/>
  </r>
  <r>
    <n v="389"/>
    <n v="149"/>
    <x v="8"/>
    <x v="8"/>
    <s v="Birmingham"/>
    <d v="2018-08-01T00:00:00"/>
    <s v="Qtr 3"/>
    <d v="2018-08-01T00:00:00"/>
    <n v="2018"/>
    <s v="Test"/>
    <n v="374"/>
    <n v="17584"/>
  </r>
  <r>
    <n v="390"/>
    <n v="51"/>
    <x v="8"/>
    <x v="8"/>
    <s v="Birmingham"/>
    <d v="2018-08-01T00:00:00"/>
    <s v="Qtr 3"/>
    <d v="2018-08-01T00:00:00"/>
    <n v="2018"/>
    <s v="Test"/>
    <n v="375"/>
    <n v="17635"/>
  </r>
  <r>
    <n v="391"/>
    <n v="23"/>
    <x v="8"/>
    <x v="8"/>
    <s v="Lord's"/>
    <d v="2018-08-09T00:00:00"/>
    <s v="Qtr 3"/>
    <d v="2018-08-09T00:00:00"/>
    <n v="2018"/>
    <s v="Test"/>
    <n v="376"/>
    <n v="17658"/>
  </r>
  <r>
    <n v="392"/>
    <n v="17"/>
    <x v="8"/>
    <x v="8"/>
    <s v="Lord's"/>
    <d v="2018-08-09T00:00:00"/>
    <s v="Qtr 3"/>
    <d v="2018-08-09T00:00:00"/>
    <n v="2018"/>
    <s v="Test"/>
    <n v="377"/>
    <n v="17675"/>
  </r>
  <r>
    <n v="393"/>
    <n v="97"/>
    <x v="8"/>
    <x v="8"/>
    <s v="Nottingham"/>
    <d v="2018-08-18T00:00:00"/>
    <s v="Qtr 3"/>
    <d v="2018-08-18T00:00:00"/>
    <n v="2018"/>
    <s v="Test"/>
    <n v="378"/>
    <n v="17772"/>
  </r>
  <r>
    <n v="394"/>
    <n v="103"/>
    <x v="8"/>
    <x v="8"/>
    <s v="Nottingham"/>
    <d v="2018-08-18T00:00:00"/>
    <s v="Qtr 3"/>
    <d v="2018-08-18T00:00:00"/>
    <n v="2018"/>
    <s v="Test"/>
    <n v="379"/>
    <n v="17875"/>
  </r>
  <r>
    <n v="395"/>
    <n v="46"/>
    <x v="8"/>
    <x v="8"/>
    <s v="Southampton"/>
    <d v="2018-08-30T00:00:00"/>
    <s v="Qtr 3"/>
    <d v="2018-08-30T00:00:00"/>
    <n v="2018"/>
    <s v="Test"/>
    <n v="380"/>
    <n v="17921"/>
  </r>
  <r>
    <n v="396"/>
    <n v="58"/>
    <x v="8"/>
    <x v="8"/>
    <s v="Southampton"/>
    <d v="2018-08-30T00:00:00"/>
    <s v="Qtr 3"/>
    <d v="2018-08-30T00:00:00"/>
    <n v="2018"/>
    <s v="Test"/>
    <n v="381"/>
    <n v="17979"/>
  </r>
  <r>
    <n v="397"/>
    <n v="49"/>
    <x v="8"/>
    <x v="8"/>
    <s v="TheOval"/>
    <d v="2018-09-07T00:00:00"/>
    <s v="Qtr 3"/>
    <d v="2018-09-07T00:00:00"/>
    <n v="2018"/>
    <s v="Test"/>
    <n v="382"/>
    <n v="18028"/>
  </r>
  <r>
    <n v="398"/>
    <n v="0"/>
    <x v="8"/>
    <x v="8"/>
    <s v="TheOval"/>
    <d v="2018-09-07T00:00:00"/>
    <s v="Qtr 3"/>
    <d v="2018-09-07T00:00:00"/>
    <n v="2018"/>
    <s v="Test"/>
    <n v="383"/>
    <n v="18028"/>
  </r>
  <r>
    <n v="399"/>
    <n v="139"/>
    <x v="2"/>
    <x v="2"/>
    <s v="Rajkot"/>
    <d v="2018-10-04T00:00:00"/>
    <s v="Qtr 4"/>
    <d v="2018-10-04T00:00:00"/>
    <n v="2018"/>
    <s v="Test"/>
    <n v="384"/>
    <n v="18167"/>
  </r>
  <r>
    <n v="400"/>
    <n v="45"/>
    <x v="2"/>
    <x v="2"/>
    <s v="Hyderabad(Deccan)"/>
    <d v="2018-10-12T00:00:00"/>
    <s v="Qtr 4"/>
    <d v="2018-10-12T00:00:00"/>
    <n v="2018"/>
    <s v="Test"/>
    <n v="385"/>
    <n v="18212"/>
  </r>
  <r>
    <n v="402"/>
    <n v="140"/>
    <x v="2"/>
    <x v="2"/>
    <s v="Guwahati"/>
    <d v="2018-10-21T00:00:00"/>
    <s v="Qtr 4"/>
    <d v="2018-10-21T00:00:00"/>
    <n v="2018"/>
    <s v="ODI"/>
    <n v="386"/>
    <n v="18352"/>
  </r>
  <r>
    <n v="403"/>
    <n v="157"/>
    <x v="2"/>
    <x v="2"/>
    <s v="Visakhapatnam"/>
    <d v="2018-10-24T00:00:00"/>
    <s v="Qtr 4"/>
    <d v="2018-10-24T00:00:00"/>
    <n v="2018"/>
    <s v="ODI"/>
    <n v="387"/>
    <n v="18509"/>
  </r>
  <r>
    <n v="404"/>
    <n v="107"/>
    <x v="2"/>
    <x v="2"/>
    <s v="Pune"/>
    <d v="2018-10-27T00:00:00"/>
    <s v="Qtr 4"/>
    <d v="2018-10-27T00:00:00"/>
    <n v="2018"/>
    <s v="ODI"/>
    <n v="388"/>
    <n v="18616"/>
  </r>
  <r>
    <n v="405"/>
    <n v="16"/>
    <x v="2"/>
    <x v="2"/>
    <s v="Brabourne"/>
    <d v="2018-10-29T00:00:00"/>
    <s v="Qtr 4"/>
    <d v="2018-10-29T00:00:00"/>
    <n v="2018"/>
    <s v="ODI"/>
    <n v="389"/>
    <n v="18632"/>
  </r>
  <r>
    <n v="406"/>
    <n v="33"/>
    <x v="2"/>
    <x v="2"/>
    <s v="Thiruvananthapuram"/>
    <d v="2018-11-01T00:00:00"/>
    <s v="Qtr 4"/>
    <d v="2018-11-01T00:00:00"/>
    <n v="2018"/>
    <s v="ODI"/>
    <n v="390"/>
    <n v="18665"/>
  </r>
  <r>
    <n v="407"/>
    <n v="4"/>
    <x v="3"/>
    <x v="3"/>
    <s v="Brisbane"/>
    <d v="2018-11-21T00:00:00"/>
    <s v="Qtr 4"/>
    <d v="2018-11-21T00:00:00"/>
    <n v="2018"/>
    <s v="T20"/>
    <n v="391"/>
    <n v="18669"/>
  </r>
  <r>
    <n v="409"/>
    <n v="61"/>
    <x v="3"/>
    <x v="3"/>
    <s v="Sydney"/>
    <d v="2018-11-25T00:00:00"/>
    <s v="Qtr 4"/>
    <d v="2018-11-25T00:00:00"/>
    <n v="2018"/>
    <s v="T20"/>
    <n v="392"/>
    <n v="18730"/>
  </r>
  <r>
    <n v="410"/>
    <n v="3"/>
    <x v="3"/>
    <x v="3"/>
    <s v="Adelaide"/>
    <d v="2018-12-06T00:00:00"/>
    <s v="Qtr 4"/>
    <d v="2018-12-06T00:00:00"/>
    <n v="2018"/>
    <s v="Test"/>
    <n v="393"/>
    <n v="18733"/>
  </r>
  <r>
    <n v="411"/>
    <n v="34"/>
    <x v="3"/>
    <x v="3"/>
    <s v="Adelaide"/>
    <d v="2018-12-06T00:00:00"/>
    <s v="Qtr 4"/>
    <d v="2018-12-06T00:00:00"/>
    <n v="2018"/>
    <s v="Test"/>
    <n v="394"/>
    <n v="18767"/>
  </r>
  <r>
    <n v="412"/>
    <n v="123"/>
    <x v="3"/>
    <x v="3"/>
    <s v="Perth"/>
    <d v="2018-12-14T00:00:00"/>
    <s v="Qtr 4"/>
    <d v="2018-12-14T00:00:00"/>
    <n v="2018"/>
    <s v="Test"/>
    <n v="395"/>
    <n v="18890"/>
  </r>
  <r>
    <n v="413"/>
    <n v="17"/>
    <x v="3"/>
    <x v="3"/>
    <s v="Perth"/>
    <d v="2018-12-14T00:00:00"/>
    <s v="Qtr 4"/>
    <d v="2018-12-14T00:00:00"/>
    <n v="2018"/>
    <s v="Test"/>
    <n v="396"/>
    <n v="18907"/>
  </r>
  <r>
    <n v="414"/>
    <n v="82"/>
    <x v="3"/>
    <x v="3"/>
    <s v="Melbourne"/>
    <d v="2018-12-26T00:00:00"/>
    <s v="Qtr 4"/>
    <d v="2018-12-26T00:00:00"/>
    <n v="2018"/>
    <s v="Test"/>
    <n v="397"/>
    <n v="18989"/>
  </r>
  <r>
    <n v="415"/>
    <n v="0"/>
    <x v="3"/>
    <x v="3"/>
    <s v="Melbourne"/>
    <d v="2018-12-26T00:00:00"/>
    <s v="Qtr 4"/>
    <d v="2018-12-26T00:00:00"/>
    <n v="2018"/>
    <s v="Test"/>
    <n v="398"/>
    <n v="18989"/>
  </r>
  <r>
    <n v="416"/>
    <n v="23"/>
    <x v="3"/>
    <x v="3"/>
    <s v="Sydney"/>
    <d v="2019-01-03T00:00:00"/>
    <s v="Qtr 1"/>
    <d v="2019-01-03T00:00:00"/>
    <n v="2019"/>
    <s v="Test"/>
    <n v="399"/>
    <n v="19012"/>
  </r>
  <r>
    <n v="417"/>
    <n v="3"/>
    <x v="3"/>
    <x v="3"/>
    <s v="Sydney"/>
    <d v="2019-01-12T00:00:00"/>
    <s v="Qtr 1"/>
    <d v="2019-01-12T00:00:00"/>
    <n v="2019"/>
    <s v="ODI"/>
    <n v="400"/>
    <n v="19015"/>
  </r>
  <r>
    <n v="418"/>
    <n v="104"/>
    <x v="3"/>
    <x v="3"/>
    <s v="Adelaide"/>
    <d v="2019-01-15T00:00:00"/>
    <s v="Qtr 1"/>
    <d v="2019-01-15T00:00:00"/>
    <n v="2019"/>
    <s v="ODI"/>
    <n v="401"/>
    <n v="19119"/>
  </r>
  <r>
    <n v="419"/>
    <n v="46"/>
    <x v="3"/>
    <x v="3"/>
    <s v="Melbourne"/>
    <d v="2019-01-18T00:00:00"/>
    <s v="Qtr 1"/>
    <d v="2019-01-18T00:00:00"/>
    <n v="2019"/>
    <s v="ODI"/>
    <n v="402"/>
    <n v="19165"/>
  </r>
  <r>
    <n v="420"/>
    <n v="45"/>
    <x v="7"/>
    <x v="7"/>
    <s v="Napier"/>
    <d v="2019-01-23T00:00:00"/>
    <s v="Qtr 1"/>
    <d v="2019-01-23T00:00:00"/>
    <n v="2019"/>
    <s v="ODI"/>
    <n v="403"/>
    <n v="19210"/>
  </r>
  <r>
    <n v="421"/>
    <n v="43"/>
    <x v="7"/>
    <x v="7"/>
    <s v="MountMaunganui"/>
    <d v="2019-01-26T00:00:00"/>
    <s v="Qtr 1"/>
    <d v="2019-01-26T00:00:00"/>
    <n v="2019"/>
    <s v="ODI"/>
    <n v="404"/>
    <n v="19253"/>
  </r>
  <r>
    <n v="422"/>
    <n v="60"/>
    <x v="7"/>
    <x v="7"/>
    <s v="MountMaunganui"/>
    <d v="2019-01-28T00:00:00"/>
    <s v="Qtr 1"/>
    <d v="2019-01-28T00:00:00"/>
    <n v="2019"/>
    <s v="ODI"/>
    <n v="405"/>
    <n v="19313"/>
  </r>
  <r>
    <n v="423"/>
    <n v="24"/>
    <x v="3"/>
    <x v="3"/>
    <s v="Visakhapatnam"/>
    <d v="2019-02-24T00:00:00"/>
    <s v="Qtr 1"/>
    <d v="2019-02-24T00:00:00"/>
    <n v="2019"/>
    <s v="T20"/>
    <n v="406"/>
    <n v="19337"/>
  </r>
  <r>
    <n v="424"/>
    <n v="72"/>
    <x v="3"/>
    <x v="3"/>
    <s v="Bengaluru"/>
    <d v="2019-02-27T00:00:00"/>
    <s v="Qtr 1"/>
    <d v="2019-02-27T00:00:00"/>
    <n v="2019"/>
    <s v="T20"/>
    <n v="407"/>
    <n v="19409"/>
  </r>
  <r>
    <n v="425"/>
    <n v="44"/>
    <x v="3"/>
    <x v="3"/>
    <s v="Hyderabad(Deccan)"/>
    <d v="2019-03-02T00:00:00"/>
    <s v="Qtr 1"/>
    <d v="2019-03-02T00:00:00"/>
    <n v="2019"/>
    <s v="ODI"/>
    <n v="408"/>
    <n v="19453"/>
  </r>
  <r>
    <n v="426"/>
    <n v="116"/>
    <x v="3"/>
    <x v="3"/>
    <s v="Nagpur"/>
    <d v="2019-03-05T00:00:00"/>
    <s v="Qtr 1"/>
    <d v="2019-03-05T00:00:00"/>
    <n v="2019"/>
    <s v="ODI"/>
    <n v="409"/>
    <n v="19569"/>
  </r>
  <r>
    <n v="427"/>
    <n v="123"/>
    <x v="3"/>
    <x v="3"/>
    <s v="Ranchi"/>
    <d v="2019-03-08T00:00:00"/>
    <s v="Qtr 1"/>
    <d v="2019-03-08T00:00:00"/>
    <n v="2019"/>
    <s v="ODI"/>
    <n v="410"/>
    <n v="19692"/>
  </r>
  <r>
    <n v="428"/>
    <n v="7"/>
    <x v="3"/>
    <x v="3"/>
    <s v="Mohali"/>
    <d v="2019-03-10T00:00:00"/>
    <s v="Qtr 1"/>
    <d v="2019-03-10T00:00:00"/>
    <n v="2019"/>
    <s v="ODI"/>
    <n v="411"/>
    <n v="19699"/>
  </r>
  <r>
    <n v="429"/>
    <n v="20"/>
    <x v="3"/>
    <x v="3"/>
    <s v="Delhi"/>
    <d v="2019-03-13T00:00:00"/>
    <s v="Qtr 1"/>
    <d v="2019-03-13T00:00:00"/>
    <n v="2019"/>
    <s v="ODI"/>
    <n v="412"/>
    <n v="19719"/>
  </r>
  <r>
    <n v="430"/>
    <n v="18"/>
    <x v="5"/>
    <x v="5"/>
    <s v="Southampton"/>
    <d v="2019-06-05T00:00:00"/>
    <s v="Qtr 2"/>
    <d v="2019-06-05T00:00:00"/>
    <n v="2019"/>
    <s v="ODI"/>
    <n v="413"/>
    <n v="19737"/>
  </r>
  <r>
    <n v="431"/>
    <n v="82"/>
    <x v="3"/>
    <x v="3"/>
    <s v="TheOval"/>
    <d v="2019-06-09T00:00:00"/>
    <s v="Qtr 2"/>
    <d v="2019-06-09T00:00:00"/>
    <n v="2019"/>
    <s v="ODI"/>
    <n v="414"/>
    <n v="19819"/>
  </r>
  <r>
    <n v="432"/>
    <n v="77"/>
    <x v="1"/>
    <x v="1"/>
    <s v="Manchester"/>
    <d v="2019-06-16T00:00:00"/>
    <s v="Qtr 2"/>
    <d v="2019-06-16T00:00:00"/>
    <n v="2019"/>
    <s v="ODI"/>
    <n v="415"/>
    <n v="19896"/>
  </r>
  <r>
    <n v="433"/>
    <n v="67"/>
    <x v="11"/>
    <x v="11"/>
    <s v="Southampton"/>
    <d v="2019-06-22T00:00:00"/>
    <s v="Qtr 2"/>
    <d v="2019-06-22T00:00:00"/>
    <n v="2019"/>
    <s v="ODI"/>
    <n v="416"/>
    <n v="19963"/>
  </r>
  <r>
    <n v="434"/>
    <n v="72"/>
    <x v="2"/>
    <x v="2"/>
    <s v="Manchester"/>
    <d v="2019-06-27T00:00:00"/>
    <s v="Qtr 2"/>
    <d v="2019-06-27T00:00:00"/>
    <n v="2019"/>
    <s v="ODI"/>
    <n v="417"/>
    <n v="20035"/>
  </r>
  <r>
    <n v="435"/>
    <n v="66"/>
    <x v="8"/>
    <x v="8"/>
    <s v="Birmingham"/>
    <d v="2019-06-30T00:00:00"/>
    <s v="Qtr 2"/>
    <d v="2019-06-30T00:00:00"/>
    <n v="2019"/>
    <s v="ODI"/>
    <n v="418"/>
    <n v="20101"/>
  </r>
  <r>
    <n v="436"/>
    <n v="26"/>
    <x v="4"/>
    <x v="4"/>
    <s v="Birmingham"/>
    <d v="2019-07-02T00:00:00"/>
    <s v="Qtr 3"/>
    <d v="2019-07-02T00:00:00"/>
    <n v="2019"/>
    <s v="ODI"/>
    <n v="419"/>
    <n v="20127"/>
  </r>
  <r>
    <n v="437"/>
    <n v="34"/>
    <x v="0"/>
    <x v="0"/>
    <s v="Leeds"/>
    <d v="2019-07-06T00:00:00"/>
    <s v="Qtr 3"/>
    <d v="2019-07-06T00:00:00"/>
    <n v="2019"/>
    <s v="ODI"/>
    <n v="420"/>
    <n v="20161"/>
  </r>
  <r>
    <n v="438"/>
    <n v="1"/>
    <x v="7"/>
    <x v="7"/>
    <s v="Manchester"/>
    <d v="2019-07-09T00:00:00"/>
    <s v="Qtr 3"/>
    <d v="2019-07-09T00:00:00"/>
    <n v="2019"/>
    <s v="ODI"/>
    <n v="421"/>
    <n v="20162"/>
  </r>
  <r>
    <n v="439"/>
    <n v="19"/>
    <x v="2"/>
    <x v="2"/>
    <s v="Lauderhill"/>
    <d v="2019-08-03T00:00:00"/>
    <s v="Qtr 3"/>
    <d v="2019-08-03T00:00:00"/>
    <n v="2019"/>
    <s v="T20"/>
    <n v="422"/>
    <n v="20181"/>
  </r>
  <r>
    <n v="440"/>
    <n v="28"/>
    <x v="2"/>
    <x v="2"/>
    <s v="Lauderhill"/>
    <d v="2019-08-04T00:00:00"/>
    <s v="Qtr 3"/>
    <d v="2019-08-04T00:00:00"/>
    <n v="2019"/>
    <s v="T20"/>
    <n v="423"/>
    <n v="20209"/>
  </r>
  <r>
    <n v="441"/>
    <n v="59"/>
    <x v="2"/>
    <x v="2"/>
    <s v="Providence"/>
    <d v="2019-08-06T00:00:00"/>
    <s v="Qtr 3"/>
    <d v="2019-08-06T00:00:00"/>
    <n v="2019"/>
    <s v="T20"/>
    <n v="424"/>
    <n v="20268"/>
  </r>
  <r>
    <n v="443"/>
    <n v="120"/>
    <x v="2"/>
    <x v="2"/>
    <s v="PortofSpain"/>
    <d v="2019-08-11T00:00:00"/>
    <s v="Qtr 3"/>
    <d v="2019-08-11T00:00:00"/>
    <n v="2019"/>
    <s v="ODI"/>
    <n v="425"/>
    <n v="20388"/>
  </r>
  <r>
    <n v="444"/>
    <n v="114"/>
    <x v="2"/>
    <x v="2"/>
    <s v="PortofSpain"/>
    <d v="2019-08-14T00:00:00"/>
    <s v="Qtr 3"/>
    <d v="2019-08-14T00:00:00"/>
    <n v="2019"/>
    <s v="ODI"/>
    <n v="426"/>
    <n v="20502"/>
  </r>
  <r>
    <n v="445"/>
    <n v="9"/>
    <x v="2"/>
    <x v="2"/>
    <s v="NorthSound"/>
    <d v="2019-08-22T00:00:00"/>
    <s v="Qtr 3"/>
    <d v="2019-08-22T00:00:00"/>
    <n v="2019"/>
    <s v="Test"/>
    <n v="427"/>
    <n v="20511"/>
  </r>
  <r>
    <n v="446"/>
    <n v="51"/>
    <x v="2"/>
    <x v="2"/>
    <s v="NorthSound"/>
    <d v="2019-08-22T00:00:00"/>
    <s v="Qtr 3"/>
    <d v="2019-08-22T00:00:00"/>
    <n v="2019"/>
    <s v="Test"/>
    <n v="428"/>
    <n v="20562"/>
  </r>
  <r>
    <n v="447"/>
    <n v="76"/>
    <x v="2"/>
    <x v="2"/>
    <s v="Kingston"/>
    <d v="2019-08-30T00:00:00"/>
    <s v="Qtr 3"/>
    <d v="2019-08-30T00:00:00"/>
    <n v="2019"/>
    <s v="Test"/>
    <n v="429"/>
    <n v="20638"/>
  </r>
  <r>
    <n v="448"/>
    <n v="0"/>
    <x v="2"/>
    <x v="2"/>
    <s v="Kingston"/>
    <d v="2019-08-30T00:00:00"/>
    <s v="Qtr 3"/>
    <d v="2019-08-30T00:00:00"/>
    <n v="2019"/>
    <s v="Test"/>
    <n v="430"/>
    <n v="20638"/>
  </r>
  <r>
    <n v="449"/>
    <n v="72"/>
    <x v="5"/>
    <x v="5"/>
    <s v="Mohali"/>
    <d v="2019-09-18T00:00:00"/>
    <s v="Qtr 3"/>
    <d v="2019-09-18T00:00:00"/>
    <n v="2019"/>
    <s v="T20"/>
    <n v="431"/>
    <n v="20710"/>
  </r>
  <r>
    <n v="450"/>
    <n v="9"/>
    <x v="5"/>
    <x v="5"/>
    <s v="Bengaluru"/>
    <d v="2019-09-22T00:00:00"/>
    <s v="Qtr 3"/>
    <d v="2019-09-22T00:00:00"/>
    <n v="2019"/>
    <s v="T20"/>
    <n v="432"/>
    <n v="20719"/>
  </r>
  <r>
    <n v="451"/>
    <n v="20"/>
    <x v="5"/>
    <x v="5"/>
    <s v="Visakhapatnam"/>
    <d v="2019-10-02T00:00:00"/>
    <s v="Qtr 4"/>
    <d v="2019-10-02T00:00:00"/>
    <n v="2019"/>
    <s v="Test"/>
    <n v="433"/>
    <n v="20739"/>
  </r>
  <r>
    <n v="452"/>
    <n v="31"/>
    <x v="5"/>
    <x v="5"/>
    <s v="Visakhapatnam"/>
    <d v="2019-10-02T00:00:00"/>
    <s v="Qtr 4"/>
    <d v="2019-10-02T00:00:00"/>
    <n v="2019"/>
    <s v="Test"/>
    <n v="434"/>
    <n v="20770"/>
  </r>
  <r>
    <n v="453"/>
    <n v="254"/>
    <x v="5"/>
    <x v="5"/>
    <s v="Pune"/>
    <d v="2019-10-10T00:00:00"/>
    <s v="Qtr 4"/>
    <d v="2019-10-10T00:00:00"/>
    <n v="2019"/>
    <s v="Test"/>
    <n v="435"/>
    <n v="21024"/>
  </r>
  <r>
    <n v="454"/>
    <n v="12"/>
    <x v="5"/>
    <x v="5"/>
    <s v="Ranchi"/>
    <d v="2019-10-19T00:00:00"/>
    <s v="Qtr 4"/>
    <d v="2019-10-19T00:00:00"/>
    <n v="2019"/>
    <s v="Test"/>
    <n v="436"/>
    <n v="21036"/>
  </r>
  <r>
    <n v="455"/>
    <n v="0"/>
    <x v="4"/>
    <x v="4"/>
    <s v="Indore"/>
    <d v="2019-11-14T00:00:00"/>
    <s v="Qtr 4"/>
    <d v="2019-11-14T00:00:00"/>
    <n v="2019"/>
    <s v="Test"/>
    <n v="437"/>
    <n v="21036"/>
  </r>
  <r>
    <n v="456"/>
    <n v="136"/>
    <x v="4"/>
    <x v="4"/>
    <s v="Kolkata"/>
    <d v="2019-11-22T00:00:00"/>
    <s v="Qtr 4"/>
    <d v="2019-11-22T00:00:00"/>
    <n v="2019"/>
    <s v="Test"/>
    <n v="438"/>
    <n v="21172"/>
  </r>
  <r>
    <n v="457"/>
    <n v="94"/>
    <x v="2"/>
    <x v="2"/>
    <s v="Hyderabad(Deccan)"/>
    <d v="2019-12-06T00:00:00"/>
    <s v="Qtr 4"/>
    <d v="2019-12-06T00:00:00"/>
    <n v="2019"/>
    <s v="T20"/>
    <n v="439"/>
    <n v="21266"/>
  </r>
  <r>
    <n v="458"/>
    <n v="19"/>
    <x v="2"/>
    <x v="2"/>
    <s v="Thiruvananthapuram"/>
    <d v="2019-12-08T00:00:00"/>
    <s v="Qtr 4"/>
    <d v="2019-12-08T00:00:00"/>
    <n v="2019"/>
    <s v="T20"/>
    <n v="440"/>
    <n v="21285"/>
  </r>
  <r>
    <n v="459"/>
    <n v="70"/>
    <x v="2"/>
    <x v="2"/>
    <s v="Wankhede"/>
    <d v="2019-12-11T00:00:00"/>
    <s v="Qtr 4"/>
    <d v="2019-12-11T00:00:00"/>
    <n v="2019"/>
    <s v="T20"/>
    <n v="441"/>
    <n v="21355"/>
  </r>
  <r>
    <n v="460"/>
    <n v="4"/>
    <x v="2"/>
    <x v="2"/>
    <s v="Chennai"/>
    <d v="2019-12-15T00:00:00"/>
    <s v="Qtr 4"/>
    <d v="2019-12-15T00:00:00"/>
    <n v="2019"/>
    <s v="ODI"/>
    <n v="442"/>
    <n v="21359"/>
  </r>
  <r>
    <n v="461"/>
    <n v="0"/>
    <x v="2"/>
    <x v="2"/>
    <s v="Visakhapatnam"/>
    <d v="2019-12-18T00:00:00"/>
    <s v="Qtr 4"/>
    <d v="2019-12-18T00:00:00"/>
    <n v="2019"/>
    <s v="ODI"/>
    <n v="443"/>
    <n v="21359"/>
  </r>
  <r>
    <n v="462"/>
    <n v="85"/>
    <x v="2"/>
    <x v="2"/>
    <s v="Cuttack"/>
    <d v="2019-12-22T00:00:00"/>
    <s v="Qtr 4"/>
    <d v="2019-12-22T00:00:00"/>
    <n v="2019"/>
    <s v="ODI"/>
    <n v="444"/>
    <n v="21444"/>
  </r>
  <r>
    <n v="464"/>
    <n v="30"/>
    <x v="0"/>
    <x v="0"/>
    <s v="Indore"/>
    <d v="2020-01-07T00:00:00"/>
    <s v="Qtr 1"/>
    <d v="2020-01-07T00:00:00"/>
    <n v="2020"/>
    <s v="T20"/>
    <n v="445"/>
    <n v="21474"/>
  </r>
  <r>
    <n v="465"/>
    <n v="26"/>
    <x v="0"/>
    <x v="0"/>
    <s v="Pune"/>
    <d v="2020-01-10T00:00:00"/>
    <s v="Qtr 1"/>
    <d v="2020-01-10T00:00:00"/>
    <n v="2020"/>
    <s v="T20"/>
    <n v="446"/>
    <n v="21500"/>
  </r>
  <r>
    <n v="466"/>
    <n v="16"/>
    <x v="3"/>
    <x v="3"/>
    <s v="Wankhede"/>
    <d v="2020-01-14T00:00:00"/>
    <s v="Qtr 1"/>
    <d v="2020-01-14T00:00:00"/>
    <n v="2020"/>
    <s v="ODI"/>
    <n v="447"/>
    <n v="21516"/>
  </r>
  <r>
    <n v="467"/>
    <n v="78"/>
    <x v="3"/>
    <x v="3"/>
    <s v="Rajkot"/>
    <d v="2020-01-17T00:00:00"/>
    <s v="Qtr 1"/>
    <d v="2020-01-17T00:00:00"/>
    <n v="2020"/>
    <s v="ODI"/>
    <n v="448"/>
    <n v="21594"/>
  </r>
  <r>
    <n v="468"/>
    <n v="89"/>
    <x v="3"/>
    <x v="3"/>
    <s v="Bengaluru"/>
    <d v="2020-01-19T00:00:00"/>
    <s v="Qtr 1"/>
    <d v="2020-01-19T00:00:00"/>
    <n v="2020"/>
    <s v="ODI"/>
    <n v="449"/>
    <n v="21683"/>
  </r>
  <r>
    <n v="469"/>
    <n v="45"/>
    <x v="7"/>
    <x v="7"/>
    <s v="Auckland"/>
    <d v="2020-01-24T00:00:00"/>
    <s v="Qtr 1"/>
    <d v="2020-01-24T00:00:00"/>
    <n v="2020"/>
    <s v="T20"/>
    <n v="450"/>
    <n v="21728"/>
  </r>
  <r>
    <n v="470"/>
    <n v="11"/>
    <x v="7"/>
    <x v="7"/>
    <s v="Auckland"/>
    <d v="2020-01-26T00:00:00"/>
    <s v="Qtr 1"/>
    <d v="2020-01-26T00:00:00"/>
    <n v="2020"/>
    <s v="T20"/>
    <n v="451"/>
    <n v="21739"/>
  </r>
  <r>
    <n v="471"/>
    <n v="38"/>
    <x v="7"/>
    <x v="7"/>
    <s v="Hamilton"/>
    <d v="2020-01-29T00:00:00"/>
    <s v="Qtr 1"/>
    <d v="2020-01-29T00:00:00"/>
    <n v="2020"/>
    <s v="T20"/>
    <n v="452"/>
    <n v="21777"/>
  </r>
  <r>
    <n v="472"/>
    <n v="11"/>
    <x v="7"/>
    <x v="7"/>
    <s v="Wellington"/>
    <d v="2020-01-31T00:00:00"/>
    <s v="Qtr 1"/>
    <d v="2020-01-31T00:00:00"/>
    <n v="2020"/>
    <s v="T20"/>
    <n v="453"/>
    <n v="21788"/>
  </r>
  <r>
    <n v="473"/>
    <n v="51"/>
    <x v="7"/>
    <x v="7"/>
    <s v="Hamilton"/>
    <d v="2020-02-05T00:00:00"/>
    <s v="Qtr 1"/>
    <d v="2020-02-05T00:00:00"/>
    <n v="2020"/>
    <s v="ODI"/>
    <n v="454"/>
    <n v="21839"/>
  </r>
  <r>
    <n v="474"/>
    <n v="15"/>
    <x v="7"/>
    <x v="7"/>
    <s v="Auckland"/>
    <d v="2020-02-08T00:00:00"/>
    <s v="Qtr 1"/>
    <d v="2020-02-08T00:00:00"/>
    <n v="2020"/>
    <s v="ODI"/>
    <n v="455"/>
    <n v="21854"/>
  </r>
  <r>
    <n v="475"/>
    <n v="9"/>
    <x v="7"/>
    <x v="7"/>
    <s v="MountMaunganui"/>
    <d v="2020-02-11T00:00:00"/>
    <s v="Qtr 1"/>
    <d v="2020-02-11T00:00:00"/>
    <n v="2020"/>
    <s v="ODI"/>
    <n v="456"/>
    <n v="21863"/>
  </r>
  <r>
    <n v="476"/>
    <n v="2"/>
    <x v="7"/>
    <x v="7"/>
    <s v="Wellington"/>
    <d v="2020-02-21T00:00:00"/>
    <s v="Qtr 1"/>
    <d v="2020-02-21T00:00:00"/>
    <n v="2020"/>
    <s v="Test"/>
    <n v="457"/>
    <n v="21865"/>
  </r>
  <r>
    <n v="477"/>
    <n v="19"/>
    <x v="7"/>
    <x v="7"/>
    <s v="Wellington"/>
    <d v="2020-02-21T00:00:00"/>
    <s v="Qtr 1"/>
    <d v="2020-02-21T00:00:00"/>
    <n v="2020"/>
    <s v="Test"/>
    <n v="458"/>
    <n v="21884"/>
  </r>
  <r>
    <n v="478"/>
    <n v="3"/>
    <x v="7"/>
    <x v="7"/>
    <s v="Christchurch"/>
    <d v="2020-02-29T00:00:00"/>
    <s v="Qtr 1"/>
    <d v="2020-02-29T00:00:00"/>
    <n v="2020"/>
    <s v="Test"/>
    <n v="459"/>
    <n v="21887"/>
  </r>
  <r>
    <n v="479"/>
    <n v="14"/>
    <x v="7"/>
    <x v="7"/>
    <s v="Christchurch"/>
    <d v="2020-02-29T00:00:00"/>
    <s v="Qtr 1"/>
    <d v="2020-02-29T00:00:00"/>
    <n v="2020"/>
    <s v="Test"/>
    <n v="460"/>
    <n v="21901"/>
  </r>
  <r>
    <n v="480"/>
    <n v="21"/>
    <x v="3"/>
    <x v="3"/>
    <s v="Sydney"/>
    <d v="2020-11-27T00:00:00"/>
    <s v="Qtr 4"/>
    <d v="2020-11-27T00:00:00"/>
    <n v="2020"/>
    <s v="ODI"/>
    <n v="461"/>
    <n v="21922"/>
  </r>
  <r>
    <n v="481"/>
    <n v="89"/>
    <x v="3"/>
    <x v="3"/>
    <s v="Sydney"/>
    <d v="2020-11-29T00:00:00"/>
    <s v="Qtr 4"/>
    <d v="2020-11-29T00:00:00"/>
    <n v="2020"/>
    <s v="ODI"/>
    <n v="462"/>
    <n v="22011"/>
  </r>
  <r>
    <n v="482"/>
    <n v="63"/>
    <x v="3"/>
    <x v="3"/>
    <s v="Canberra"/>
    <d v="2020-12-02T00:00:00"/>
    <s v="Qtr 4"/>
    <d v="2020-12-02T00:00:00"/>
    <n v="2020"/>
    <s v="ODI"/>
    <n v="463"/>
    <n v="22074"/>
  </r>
  <r>
    <n v="483"/>
    <n v="9"/>
    <x v="3"/>
    <x v="3"/>
    <s v="Canberra"/>
    <d v="2020-12-04T00:00:00"/>
    <s v="Qtr 4"/>
    <d v="2020-12-04T00:00:00"/>
    <n v="2020"/>
    <s v="T20"/>
    <n v="464"/>
    <n v="22083"/>
  </r>
  <r>
    <n v="484"/>
    <n v="40"/>
    <x v="3"/>
    <x v="3"/>
    <s v="Sydney"/>
    <d v="2020-12-06T00:00:00"/>
    <s v="Qtr 4"/>
    <d v="2020-12-06T00:00:00"/>
    <n v="2020"/>
    <s v="T20"/>
    <n v="465"/>
    <n v="22123"/>
  </r>
  <r>
    <n v="485"/>
    <n v="85"/>
    <x v="3"/>
    <x v="3"/>
    <s v="Sydney"/>
    <d v="2020-12-08T00:00:00"/>
    <s v="Qtr 4"/>
    <d v="2020-12-08T00:00:00"/>
    <n v="2020"/>
    <s v="T20"/>
    <n v="466"/>
    <n v="22208"/>
  </r>
  <r>
    <n v="486"/>
    <n v="74"/>
    <x v="3"/>
    <x v="3"/>
    <s v="Adelaide"/>
    <d v="2020-12-17T00:00:00"/>
    <s v="Qtr 4"/>
    <d v="2020-12-17T00:00:00"/>
    <n v="2020"/>
    <s v="Test"/>
    <n v="467"/>
    <n v="22282"/>
  </r>
  <r>
    <n v="487"/>
    <n v="4"/>
    <x v="3"/>
    <x v="3"/>
    <s v="Adelaide"/>
    <d v="2020-12-17T00:00:00"/>
    <s v="Qtr 4"/>
    <d v="2020-12-17T00:00:00"/>
    <n v="2020"/>
    <s v="Test"/>
    <n v="468"/>
    <n v="22286"/>
  </r>
  <r>
    <n v="488"/>
    <n v="11"/>
    <x v="8"/>
    <x v="8"/>
    <s v="Chennai"/>
    <d v="2021-02-05T00:00:00"/>
    <s v="Qtr 1"/>
    <d v="2021-02-05T00:00:00"/>
    <n v="2021"/>
    <s v="Test"/>
    <n v="469"/>
    <n v="22297"/>
  </r>
  <r>
    <n v="489"/>
    <n v="72"/>
    <x v="8"/>
    <x v="8"/>
    <s v="Chennai"/>
    <d v="2021-02-05T00:00:00"/>
    <s v="Qtr 1"/>
    <d v="2021-02-05T00:00:00"/>
    <n v="2021"/>
    <s v="Test"/>
    <n v="470"/>
    <n v="22369"/>
  </r>
  <r>
    <n v="490"/>
    <n v="0"/>
    <x v="8"/>
    <x v="8"/>
    <s v="Chennai"/>
    <d v="2021-02-13T00:00:00"/>
    <s v="Qtr 1"/>
    <d v="2021-02-13T00:00:00"/>
    <n v="2021"/>
    <s v="Test"/>
    <n v="471"/>
    <n v="22369"/>
  </r>
  <r>
    <n v="491"/>
    <n v="62"/>
    <x v="8"/>
    <x v="8"/>
    <s v="Chennai"/>
    <d v="2021-02-13T00:00:00"/>
    <s v="Qtr 1"/>
    <d v="2021-02-13T00:00:00"/>
    <n v="2021"/>
    <s v="Test"/>
    <n v="472"/>
    <n v="22431"/>
  </r>
  <r>
    <n v="492"/>
    <n v="27"/>
    <x v="8"/>
    <x v="8"/>
    <s v="Ahmedabad"/>
    <d v="2021-02-24T00:00:00"/>
    <s v="Qtr 1"/>
    <d v="2021-02-24T00:00:00"/>
    <n v="2021"/>
    <s v="Test"/>
    <n v="473"/>
    <n v="22458"/>
  </r>
  <r>
    <n v="494"/>
    <n v="0"/>
    <x v="8"/>
    <x v="8"/>
    <s v="Ahmedabad"/>
    <d v="2021-03-04T00:00:00"/>
    <s v="Qtr 1"/>
    <d v="2021-03-04T00:00:00"/>
    <n v="2021"/>
    <s v="Test"/>
    <n v="474"/>
    <n v="22458"/>
  </r>
  <r>
    <n v="495"/>
    <n v="0"/>
    <x v="8"/>
    <x v="8"/>
    <s v="Ahmedabad"/>
    <d v="2021-03-12T00:00:00"/>
    <s v="Qtr 1"/>
    <d v="2021-03-12T00:00:00"/>
    <n v="2021"/>
    <s v="T20"/>
    <n v="475"/>
    <n v="22458"/>
  </r>
  <r>
    <n v="496"/>
    <n v="73"/>
    <x v="8"/>
    <x v="8"/>
    <s v="Ahmedabad"/>
    <d v="2021-03-14T00:00:00"/>
    <s v="Qtr 1"/>
    <d v="2021-03-14T00:00:00"/>
    <n v="2021"/>
    <s v="T20"/>
    <n v="476"/>
    <n v="22531"/>
  </r>
  <r>
    <n v="497"/>
    <n v="77"/>
    <x v="8"/>
    <x v="8"/>
    <s v="Ahmedabad"/>
    <d v="2021-03-16T00:00:00"/>
    <s v="Qtr 1"/>
    <d v="2021-03-16T00:00:00"/>
    <n v="2021"/>
    <s v="T20"/>
    <n v="477"/>
    <n v="22608"/>
  </r>
  <r>
    <n v="498"/>
    <n v="1"/>
    <x v="8"/>
    <x v="8"/>
    <s v="Ahmedabad"/>
    <d v="2021-03-18T00:00:00"/>
    <s v="Qtr 1"/>
    <d v="2021-03-18T00:00:00"/>
    <n v="2021"/>
    <s v="T20"/>
    <n v="478"/>
    <n v="22609"/>
  </r>
  <r>
    <n v="499"/>
    <n v="80"/>
    <x v="8"/>
    <x v="8"/>
    <s v="Ahmedabad"/>
    <d v="2021-03-20T00:00:00"/>
    <s v="Qtr 1"/>
    <d v="2021-03-20T00:00:00"/>
    <n v="2021"/>
    <s v="T20"/>
    <n v="479"/>
    <n v="22689"/>
  </r>
  <r>
    <n v="500"/>
    <n v="56"/>
    <x v="8"/>
    <x v="8"/>
    <s v="Pune"/>
    <d v="2021-03-23T00:00:00"/>
    <s v="Qtr 1"/>
    <d v="2021-03-23T00:00:00"/>
    <n v="2021"/>
    <s v="ODI"/>
    <n v="480"/>
    <n v="22745"/>
  </r>
  <r>
    <n v="501"/>
    <n v="66"/>
    <x v="8"/>
    <x v="8"/>
    <s v="Pune"/>
    <d v="2021-03-26T00:00:00"/>
    <s v="Qtr 1"/>
    <d v="2021-03-26T00:00:00"/>
    <n v="2021"/>
    <s v="ODI"/>
    <n v="481"/>
    <n v="22811"/>
  </r>
  <r>
    <n v="502"/>
    <n v="7"/>
    <x v="8"/>
    <x v="8"/>
    <s v="Pune"/>
    <d v="2021-03-28T00:00:00"/>
    <s v="Qtr 1"/>
    <d v="2021-03-28T00:00:00"/>
    <n v="2021"/>
    <s v="ODI"/>
    <n v="482"/>
    <n v="22818"/>
  </r>
  <r>
    <n v="503"/>
    <n v="44"/>
    <x v="7"/>
    <x v="7"/>
    <s v="Southampton"/>
    <d v="2021-06-18T00:00:00"/>
    <s v="Qtr 2"/>
    <d v="2021-06-18T00:00:00"/>
    <n v="2021"/>
    <s v="Test"/>
    <n v="483"/>
    <n v="22862"/>
  </r>
  <r>
    <n v="504"/>
    <n v="13"/>
    <x v="7"/>
    <x v="7"/>
    <s v="Southampton"/>
    <d v="2021-06-18T00:00:00"/>
    <s v="Qtr 2"/>
    <d v="2021-06-18T00:00:00"/>
    <n v="2021"/>
    <s v="Test"/>
    <n v="484"/>
    <n v="22875"/>
  </r>
  <r>
    <n v="505"/>
    <n v="0"/>
    <x v="8"/>
    <x v="8"/>
    <s v="Nottingham"/>
    <d v="2021-08-04T00:00:00"/>
    <s v="Qtr 3"/>
    <d v="2021-08-04T00:00:00"/>
    <n v="2021"/>
    <s v="Test"/>
    <n v="485"/>
    <n v="22875"/>
  </r>
  <r>
    <n v="507"/>
    <n v="42"/>
    <x v="8"/>
    <x v="8"/>
    <s v="Lord's"/>
    <d v="2021-08-12T00:00:00"/>
    <s v="Qtr 3"/>
    <d v="2021-08-12T00:00:00"/>
    <n v="2021"/>
    <s v="Test"/>
    <n v="486"/>
    <n v="22917"/>
  </r>
  <r>
    <n v="508"/>
    <n v="20"/>
    <x v="8"/>
    <x v="8"/>
    <s v="Lord's"/>
    <d v="2021-08-12T00:00:00"/>
    <s v="Qtr 3"/>
    <d v="2021-08-12T00:00:00"/>
    <n v="2021"/>
    <s v="Test"/>
    <n v="487"/>
    <n v="22937"/>
  </r>
  <r>
    <n v="509"/>
    <n v="7"/>
    <x v="8"/>
    <x v="8"/>
    <s v="Leeds"/>
    <d v="2021-08-25T00:00:00"/>
    <s v="Qtr 3"/>
    <d v="2021-08-25T00:00:00"/>
    <n v="2021"/>
    <s v="Test"/>
    <n v="488"/>
    <n v="22944"/>
  </r>
  <r>
    <n v="510"/>
    <n v="55"/>
    <x v="8"/>
    <x v="8"/>
    <s v="Leeds"/>
    <d v="2021-08-25T00:00:00"/>
    <s v="Qtr 3"/>
    <d v="2021-08-25T00:00:00"/>
    <n v="2021"/>
    <s v="Test"/>
    <n v="489"/>
    <n v="22999"/>
  </r>
  <r>
    <n v="511"/>
    <n v="50"/>
    <x v="8"/>
    <x v="8"/>
    <s v="TheOval"/>
    <d v="2021-09-02T00:00:00"/>
    <s v="Qtr 3"/>
    <d v="2021-09-02T00:00:00"/>
    <n v="2021"/>
    <s v="Test"/>
    <n v="490"/>
    <n v="23049"/>
  </r>
  <r>
    <n v="512"/>
    <n v="44"/>
    <x v="8"/>
    <x v="8"/>
    <s v="TheOval"/>
    <d v="2021-09-02T00:00:00"/>
    <s v="Qtr 3"/>
    <d v="2021-09-02T00:00:00"/>
    <n v="2021"/>
    <s v="Test"/>
    <n v="491"/>
    <n v="23093"/>
  </r>
  <r>
    <n v="513"/>
    <n v="57"/>
    <x v="1"/>
    <x v="1"/>
    <s v="Dubai(DSC)"/>
    <d v="2021-10-24T00:00:00"/>
    <s v="Qtr 4"/>
    <d v="2021-10-24T00:00:00"/>
    <n v="2021"/>
    <s v="T20"/>
    <n v="492"/>
    <n v="23150"/>
  </r>
  <r>
    <n v="514"/>
    <n v="9"/>
    <x v="7"/>
    <x v="7"/>
    <s v="Dubai(DSC)"/>
    <d v="2021-10-31T00:00:00"/>
    <s v="Qtr 4"/>
    <d v="2021-10-31T00:00:00"/>
    <n v="2021"/>
    <s v="T20"/>
    <n v="493"/>
    <n v="23159"/>
  </r>
  <r>
    <n v="516"/>
    <n v="2"/>
    <x v="13"/>
    <x v="13"/>
    <s v="Dubai(DSC)"/>
    <d v="2021-11-05T00:00:00"/>
    <s v="Qtr 4"/>
    <d v="2021-11-05T00:00:00"/>
    <n v="2021"/>
    <s v="T20"/>
    <n v="494"/>
    <n v="23161"/>
  </r>
  <r>
    <n v="518"/>
    <n v="0"/>
    <x v="7"/>
    <x v="7"/>
    <s v="Wankhede"/>
    <d v="2021-12-03T00:00:00"/>
    <s v="Qtr 4"/>
    <d v="2021-12-03T00:00:00"/>
    <n v="2021"/>
    <s v="Test"/>
    <n v="495"/>
    <n v="23161"/>
  </r>
  <r>
    <n v="519"/>
    <n v="36"/>
    <x v="7"/>
    <x v="7"/>
    <s v="Wankhede"/>
    <d v="2021-12-03T00:00:00"/>
    <s v="Qtr 4"/>
    <d v="2021-12-03T00:00:00"/>
    <n v="2021"/>
    <s v="Test"/>
    <n v="496"/>
    <n v="23197"/>
  </r>
  <r>
    <n v="520"/>
    <n v="35"/>
    <x v="5"/>
    <x v="5"/>
    <s v="Centurion"/>
    <d v="2021-12-26T00:00:00"/>
    <s v="Qtr 4"/>
    <d v="2021-12-26T00:00:00"/>
    <n v="2021"/>
    <s v="Test"/>
    <n v="497"/>
    <n v="23232"/>
  </r>
  <r>
    <n v="521"/>
    <n v="18"/>
    <x v="5"/>
    <x v="5"/>
    <s v="Centurion"/>
    <d v="2021-12-26T00:00:00"/>
    <s v="Qtr 4"/>
    <d v="2021-12-26T00:00:00"/>
    <n v="2021"/>
    <s v="Test"/>
    <n v="498"/>
    <n v="23250"/>
  </r>
  <r>
    <n v="522"/>
    <n v="79"/>
    <x v="5"/>
    <x v="5"/>
    <s v="CapeTown"/>
    <d v="2022-01-11T00:00:00"/>
    <s v="Qtr 1"/>
    <d v="2022-01-11T00:00:00"/>
    <n v="2022"/>
    <s v="Test"/>
    <n v="499"/>
    <n v="23329"/>
  </r>
  <r>
    <n v="523"/>
    <n v="29"/>
    <x v="5"/>
    <x v="5"/>
    <s v="CapeTown"/>
    <d v="2022-01-11T00:00:00"/>
    <s v="Qtr 1"/>
    <d v="2022-01-11T00:00:00"/>
    <n v="2022"/>
    <s v="Test"/>
    <n v="500"/>
    <n v="23358"/>
  </r>
  <r>
    <n v="524"/>
    <n v="51"/>
    <x v="5"/>
    <x v="5"/>
    <s v="Paarl"/>
    <d v="2022-01-19T00:00:00"/>
    <s v="Qtr 1"/>
    <d v="2022-01-19T00:00:00"/>
    <n v="2022"/>
    <s v="ODI"/>
    <n v="501"/>
    <n v="23409"/>
  </r>
  <r>
    <n v="525"/>
    <n v="0"/>
    <x v="5"/>
    <x v="5"/>
    <s v="Paarl"/>
    <d v="2022-01-21T00:00:00"/>
    <s v="Qtr 1"/>
    <d v="2022-01-21T00:00:00"/>
    <n v="2022"/>
    <s v="ODI"/>
    <n v="502"/>
    <n v="23409"/>
  </r>
  <r>
    <n v="526"/>
    <n v="65"/>
    <x v="5"/>
    <x v="5"/>
    <s v="CapeTown"/>
    <d v="2022-01-23T00:00:00"/>
    <s v="Qtr 1"/>
    <d v="2022-01-23T00:00:00"/>
    <n v="2022"/>
    <s v="ODI"/>
    <n v="503"/>
    <n v="23474"/>
  </r>
  <r>
    <n v="527"/>
    <n v="8"/>
    <x v="2"/>
    <x v="2"/>
    <s v="Ahmedabad"/>
    <d v="2022-02-06T00:00:00"/>
    <s v="Qtr 1"/>
    <d v="2022-02-06T00:00:00"/>
    <n v="2022"/>
    <s v="ODI"/>
    <n v="504"/>
    <n v="23482"/>
  </r>
  <r>
    <n v="528"/>
    <n v="18"/>
    <x v="2"/>
    <x v="2"/>
    <s v="Ahmedabad"/>
    <d v="2022-02-09T00:00:00"/>
    <s v="Qtr 1"/>
    <d v="2022-02-09T00:00:00"/>
    <n v="2022"/>
    <s v="ODI"/>
    <n v="505"/>
    <n v="23500"/>
  </r>
  <r>
    <n v="529"/>
    <n v="0"/>
    <x v="2"/>
    <x v="2"/>
    <s v="Ahmedabad"/>
    <d v="2022-02-11T00:00:00"/>
    <s v="Qtr 1"/>
    <d v="2022-02-11T00:00:00"/>
    <n v="2022"/>
    <s v="ODI"/>
    <n v="506"/>
    <n v="23500"/>
  </r>
  <r>
    <n v="530"/>
    <n v="17"/>
    <x v="2"/>
    <x v="2"/>
    <s v="Kolkata"/>
    <d v="2022-02-16T00:00:00"/>
    <s v="Qtr 1"/>
    <d v="2022-02-16T00:00:00"/>
    <n v="2022"/>
    <s v="T20"/>
    <n v="507"/>
    <n v="23517"/>
  </r>
  <r>
    <n v="531"/>
    <n v="52"/>
    <x v="2"/>
    <x v="2"/>
    <s v="Kolkata"/>
    <d v="2022-02-18T00:00:00"/>
    <s v="Qtr 1"/>
    <d v="2022-02-18T00:00:00"/>
    <n v="2022"/>
    <s v="T20"/>
    <n v="508"/>
    <n v="23569"/>
  </r>
  <r>
    <n v="532"/>
    <n v="45"/>
    <x v="0"/>
    <x v="0"/>
    <s v="Mohali"/>
    <d v="2022-03-04T00:00:00"/>
    <s v="Qtr 1"/>
    <d v="2022-03-04T00:00:00"/>
    <n v="2022"/>
    <s v="Test"/>
    <n v="509"/>
    <n v="23614"/>
  </r>
  <r>
    <n v="533"/>
    <n v="23"/>
    <x v="0"/>
    <x v="0"/>
    <s v="Bengaluru"/>
    <d v="2022-03-12T00:00:00"/>
    <s v="Qtr 1"/>
    <d v="2022-03-12T00:00:00"/>
    <n v="2022"/>
    <s v="Test"/>
    <n v="510"/>
    <n v="23637"/>
  </r>
  <r>
    <n v="534"/>
    <n v="13"/>
    <x v="0"/>
    <x v="0"/>
    <s v="Bengaluru"/>
    <d v="2022-03-12T00:00:00"/>
    <s v="Qtr 1"/>
    <d v="2022-03-12T00:00:00"/>
    <n v="2022"/>
    <s v="Test"/>
    <n v="511"/>
    <n v="23650"/>
  </r>
  <r>
    <n v="535"/>
    <n v="11"/>
    <x v="8"/>
    <x v="8"/>
    <s v="Birmingham"/>
    <d v="2022-07-01T00:00:00"/>
    <s v="Qtr 3"/>
    <d v="2022-07-01T00:00:00"/>
    <n v="2022"/>
    <s v="Test"/>
    <n v="512"/>
    <n v="23661"/>
  </r>
  <r>
    <n v="536"/>
    <n v="20"/>
    <x v="8"/>
    <x v="8"/>
    <s v="Birmingham"/>
    <d v="2022-07-01T00:00:00"/>
    <s v="Qtr 3"/>
    <d v="2022-07-01T00:00:00"/>
    <n v="2022"/>
    <s v="Test"/>
    <n v="513"/>
    <n v="23681"/>
  </r>
  <r>
    <n v="537"/>
    <n v="1"/>
    <x v="8"/>
    <x v="8"/>
    <s v="Birmingham"/>
    <d v="2022-07-09T00:00:00"/>
    <s v="Qtr 3"/>
    <d v="2022-07-09T00:00:00"/>
    <n v="2022"/>
    <s v="T20"/>
    <n v="514"/>
    <n v="23682"/>
  </r>
  <r>
    <n v="538"/>
    <n v="11"/>
    <x v="8"/>
    <x v="8"/>
    <s v="Nottingham"/>
    <d v="2022-07-10T00:00:00"/>
    <s v="Qtr 3"/>
    <d v="2022-07-10T00:00:00"/>
    <n v="2022"/>
    <s v="T20"/>
    <n v="515"/>
    <n v="23693"/>
  </r>
  <r>
    <n v="539"/>
    <n v="16"/>
    <x v="8"/>
    <x v="8"/>
    <s v="Lord's"/>
    <d v="2022-07-14T00:00:00"/>
    <s v="Qtr 3"/>
    <d v="2022-07-14T00:00:00"/>
    <n v="2022"/>
    <s v="ODI"/>
    <n v="516"/>
    <n v="237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1:B26" firstHeaderRow="1" firstDataRow="1" firstDataCol="1"/>
  <pivotFields count="12">
    <pivotField showAll="0"/>
    <pivotField dataField="1" showAll="0"/>
    <pivotField showAll="0" sortType="descending">
      <items count="15">
        <item x="11"/>
        <item x="3"/>
        <item x="4"/>
        <item x="8"/>
        <item x="9"/>
        <item x="10"/>
        <item x="7"/>
        <item x="1"/>
        <item x="13"/>
        <item x="5"/>
        <item x="0"/>
        <item x="12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 defaultSubtotal="0">
      <items count="14">
        <item x="11"/>
        <item x="3"/>
        <item x="4"/>
        <item x="8"/>
        <item x="9"/>
        <item x="10"/>
        <item x="7"/>
        <item x="1"/>
        <item x="5"/>
        <item x="13"/>
        <item x="0"/>
        <item x="12"/>
        <item x="2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numFmtId="165" showAll="0"/>
    <pivotField numFmtId="49" showAll="0"/>
    <pivotField showAll="0"/>
    <pivotField showAll="0"/>
    <pivotField showAll="0"/>
  </pivotFields>
  <rowFields count="1">
    <field x="3"/>
  </rowFields>
  <rowItems count="15">
    <i>
      <x v="1"/>
    </i>
    <i>
      <x v="3"/>
    </i>
    <i>
      <x v="12"/>
    </i>
    <i>
      <x v="10"/>
    </i>
    <i>
      <x v="8"/>
    </i>
    <i>
      <x v="6"/>
    </i>
    <i>
      <x v="2"/>
    </i>
    <i>
      <x v="7"/>
    </i>
    <i>
      <x v="13"/>
    </i>
    <i>
      <x/>
    </i>
    <i>
      <x v="4"/>
    </i>
    <i>
      <x v="11"/>
    </i>
    <i>
      <x v="5"/>
    </i>
    <i>
      <x v="9"/>
    </i>
    <i t="grand">
      <x/>
    </i>
  </rowItems>
  <colItems count="1">
    <i/>
  </colItems>
  <dataFields count="1">
    <dataField name="Sum of runs" fld="1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A8" firstHeaderRow="1" firstDataRow="1" firstDataCol="0"/>
  <pivotFields count="12">
    <pivotField showAll="0"/>
    <pivotField showAll="0"/>
    <pivotField showAll="0"/>
    <pivotField showAll="0" defaultSubtotal="0"/>
    <pivotField showAll="0"/>
    <pivotField numFmtId="164" showAll="0"/>
    <pivotField showAll="0"/>
    <pivotField numFmtId="165" showAll="0"/>
    <pivotField numFmtId="49"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Match_N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2">
    <pivotField showAll="0"/>
    <pivotField dataField="1" showAll="0"/>
    <pivotField showAll="0"/>
    <pivotField showAll="0" defaultSubtotal="0"/>
    <pivotField showAll="0"/>
    <pivotField numFmtId="164" showAll="0"/>
    <pivotField showAll="0"/>
    <pivotField numFmtId="165" showAll="0"/>
    <pivotField numFmtId="49" showAll="0"/>
    <pivotField showAll="0"/>
    <pivotField showAll="0"/>
    <pivotField showAll="0"/>
  </pivotFields>
  <rowItems count="1">
    <i/>
  </rowItems>
  <colItems count="1">
    <i/>
  </colItems>
  <dataFields count="1">
    <dataField name="Sum of run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5" sqref="R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7"/>
  <sheetViews>
    <sheetView tabSelected="1" topLeftCell="A497" workbookViewId="0">
      <selection activeCell="C508" sqref="C508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2">
        <v>0</v>
      </c>
      <c r="B2" s="2">
        <v>12</v>
      </c>
      <c r="C2" s="2" t="s">
        <v>11</v>
      </c>
      <c r="D2" s="2" t="s">
        <v>111</v>
      </c>
      <c r="E2" s="2" t="s">
        <v>12</v>
      </c>
      <c r="F2" s="3">
        <v>39678</v>
      </c>
      <c r="G2" s="2" t="s">
        <v>13</v>
      </c>
      <c r="H2" s="4">
        <v>39678</v>
      </c>
      <c r="I2" s="5">
        <f>YEAR(F2)</f>
        <v>2008</v>
      </c>
      <c r="J2" s="2" t="s">
        <v>14</v>
      </c>
      <c r="K2" s="2">
        <v>1</v>
      </c>
      <c r="L2" s="2">
        <v>12</v>
      </c>
    </row>
    <row r="3" spans="1:12" x14ac:dyDescent="0.35">
      <c r="A3" s="2">
        <v>1</v>
      </c>
      <c r="B3" s="2">
        <v>37</v>
      </c>
      <c r="C3" s="2" t="s">
        <v>11</v>
      </c>
      <c r="D3" s="2" t="s">
        <v>111</v>
      </c>
      <c r="E3" s="2" t="s">
        <v>12</v>
      </c>
      <c r="F3" s="3">
        <v>39680</v>
      </c>
      <c r="G3" s="2" t="s">
        <v>13</v>
      </c>
      <c r="H3" s="4">
        <v>39680</v>
      </c>
      <c r="I3" s="5">
        <f t="shared" ref="I3:I66" si="0">YEAR(F3)</f>
        <v>2008</v>
      </c>
      <c r="J3" s="2" t="s">
        <v>14</v>
      </c>
      <c r="K3" s="2">
        <v>2</v>
      </c>
      <c r="L3" s="2">
        <v>49</v>
      </c>
    </row>
    <row r="4" spans="1:12" x14ac:dyDescent="0.35">
      <c r="A4" s="2">
        <v>2</v>
      </c>
      <c r="B4" s="2">
        <v>25</v>
      </c>
      <c r="C4" s="2" t="s">
        <v>11</v>
      </c>
      <c r="D4" s="2" t="s">
        <v>111</v>
      </c>
      <c r="E4" s="2" t="s">
        <v>15</v>
      </c>
      <c r="F4" s="3">
        <v>39684</v>
      </c>
      <c r="G4" s="2" t="s">
        <v>13</v>
      </c>
      <c r="H4" s="4">
        <v>39684</v>
      </c>
      <c r="I4" s="5">
        <f t="shared" si="0"/>
        <v>2008</v>
      </c>
      <c r="J4" s="2" t="s">
        <v>14</v>
      </c>
      <c r="K4" s="2">
        <v>3</v>
      </c>
      <c r="L4" s="2">
        <v>74</v>
      </c>
    </row>
    <row r="5" spans="1:12" x14ac:dyDescent="0.35">
      <c r="A5" s="2">
        <v>3</v>
      </c>
      <c r="B5" s="2">
        <v>54</v>
      </c>
      <c r="C5" s="2" t="s">
        <v>11</v>
      </c>
      <c r="D5" s="2" t="s">
        <v>111</v>
      </c>
      <c r="E5" s="2" t="s">
        <v>15</v>
      </c>
      <c r="F5" s="3">
        <v>39687</v>
      </c>
      <c r="G5" s="2" t="s">
        <v>13</v>
      </c>
      <c r="H5" s="4">
        <v>39687</v>
      </c>
      <c r="I5" s="5">
        <f t="shared" si="0"/>
        <v>2008</v>
      </c>
      <c r="J5" s="2" t="s">
        <v>14</v>
      </c>
      <c r="K5" s="2">
        <v>4</v>
      </c>
      <c r="L5" s="2">
        <v>128</v>
      </c>
    </row>
    <row r="6" spans="1:12" x14ac:dyDescent="0.35">
      <c r="A6" s="2">
        <v>4</v>
      </c>
      <c r="B6" s="2">
        <v>31</v>
      </c>
      <c r="C6" s="2" t="s">
        <v>11</v>
      </c>
      <c r="D6" s="2" t="s">
        <v>111</v>
      </c>
      <c r="E6" s="2" t="s">
        <v>15</v>
      </c>
      <c r="F6" s="3">
        <v>39689</v>
      </c>
      <c r="G6" s="2" t="s">
        <v>13</v>
      </c>
      <c r="H6" s="4">
        <v>39689</v>
      </c>
      <c r="I6" s="5">
        <f t="shared" si="0"/>
        <v>2008</v>
      </c>
      <c r="J6" s="2" t="s">
        <v>14</v>
      </c>
      <c r="K6" s="2">
        <v>5</v>
      </c>
      <c r="L6" s="2">
        <v>159</v>
      </c>
    </row>
    <row r="7" spans="1:12" x14ac:dyDescent="0.35">
      <c r="A7" s="2">
        <v>5</v>
      </c>
      <c r="B7" s="2">
        <v>2</v>
      </c>
      <c r="C7" s="2" t="s">
        <v>11</v>
      </c>
      <c r="D7" s="2" t="s">
        <v>111</v>
      </c>
      <c r="E7" s="2" t="s">
        <v>15</v>
      </c>
      <c r="F7" s="3">
        <v>40070</v>
      </c>
      <c r="G7" s="2" t="s">
        <v>13</v>
      </c>
      <c r="H7" s="4">
        <v>40070</v>
      </c>
      <c r="I7" s="5">
        <f t="shared" si="0"/>
        <v>2009</v>
      </c>
      <c r="J7" s="2" t="s">
        <v>14</v>
      </c>
      <c r="K7" s="2">
        <v>6</v>
      </c>
      <c r="L7" s="2">
        <v>161</v>
      </c>
    </row>
    <row r="8" spans="1:12" x14ac:dyDescent="0.35">
      <c r="A8" s="2">
        <v>6</v>
      </c>
      <c r="B8" s="2">
        <v>16</v>
      </c>
      <c r="C8" s="2" t="s">
        <v>16</v>
      </c>
      <c r="D8" s="2" t="s">
        <v>112</v>
      </c>
      <c r="E8" s="2" t="s">
        <v>17</v>
      </c>
      <c r="F8" s="3">
        <v>40082</v>
      </c>
      <c r="G8" s="2" t="s">
        <v>13</v>
      </c>
      <c r="H8" s="4">
        <v>40082</v>
      </c>
      <c r="I8" s="5">
        <f t="shared" si="0"/>
        <v>2009</v>
      </c>
      <c r="J8" s="2" t="s">
        <v>14</v>
      </c>
      <c r="K8" s="2">
        <v>7</v>
      </c>
      <c r="L8" s="2">
        <v>177</v>
      </c>
    </row>
    <row r="9" spans="1:12" x14ac:dyDescent="0.35">
      <c r="A9" s="2">
        <v>8</v>
      </c>
      <c r="B9" s="2">
        <v>79</v>
      </c>
      <c r="C9" s="2" t="s">
        <v>18</v>
      </c>
      <c r="D9" s="2" t="s">
        <v>113</v>
      </c>
      <c r="E9" s="2" t="s">
        <v>19</v>
      </c>
      <c r="F9" s="3">
        <v>40086</v>
      </c>
      <c r="G9" s="2" t="s">
        <v>13</v>
      </c>
      <c r="H9" s="4">
        <v>40086</v>
      </c>
      <c r="I9" s="5">
        <f t="shared" si="0"/>
        <v>2009</v>
      </c>
      <c r="J9" s="2" t="s">
        <v>14</v>
      </c>
      <c r="K9" s="2">
        <v>8</v>
      </c>
      <c r="L9" s="2">
        <v>256</v>
      </c>
    </row>
    <row r="10" spans="1:12" x14ac:dyDescent="0.35">
      <c r="A10" s="2">
        <v>9</v>
      </c>
      <c r="B10" s="2">
        <v>30</v>
      </c>
      <c r="C10" s="2" t="s">
        <v>20</v>
      </c>
      <c r="D10" s="2" t="s">
        <v>114</v>
      </c>
      <c r="E10" s="2" t="s">
        <v>21</v>
      </c>
      <c r="F10" s="3">
        <v>40111</v>
      </c>
      <c r="G10" s="2" t="s">
        <v>22</v>
      </c>
      <c r="H10" s="4">
        <v>40111</v>
      </c>
      <c r="I10" s="5">
        <f t="shared" si="0"/>
        <v>2009</v>
      </c>
      <c r="J10" s="2" t="s">
        <v>14</v>
      </c>
      <c r="K10" s="2">
        <v>9</v>
      </c>
      <c r="L10" s="2">
        <v>286</v>
      </c>
    </row>
    <row r="11" spans="1:12" x14ac:dyDescent="0.35">
      <c r="A11" s="2">
        <v>10</v>
      </c>
      <c r="B11" s="2">
        <v>10</v>
      </c>
      <c r="C11" s="2" t="s">
        <v>20</v>
      </c>
      <c r="D11" s="2" t="s">
        <v>114</v>
      </c>
      <c r="E11" s="2" t="s">
        <v>23</v>
      </c>
      <c r="F11" s="3">
        <v>40119</v>
      </c>
      <c r="G11" s="2" t="s">
        <v>22</v>
      </c>
      <c r="H11" s="4">
        <v>40119</v>
      </c>
      <c r="I11" s="5">
        <f t="shared" si="0"/>
        <v>2009</v>
      </c>
      <c r="J11" s="2" t="s">
        <v>14</v>
      </c>
      <c r="K11" s="2">
        <v>10</v>
      </c>
      <c r="L11" s="2">
        <v>296</v>
      </c>
    </row>
    <row r="12" spans="1:12" x14ac:dyDescent="0.35">
      <c r="A12" s="2">
        <v>11</v>
      </c>
      <c r="B12" s="2">
        <v>27</v>
      </c>
      <c r="C12" s="2" t="s">
        <v>11</v>
      </c>
      <c r="D12" s="2" t="s">
        <v>111</v>
      </c>
      <c r="E12" s="2" t="s">
        <v>24</v>
      </c>
      <c r="F12" s="3">
        <v>40162</v>
      </c>
      <c r="G12" s="2" t="s">
        <v>22</v>
      </c>
      <c r="H12" s="4">
        <v>40162</v>
      </c>
      <c r="I12" s="5">
        <f t="shared" si="0"/>
        <v>2009</v>
      </c>
      <c r="J12" s="2" t="s">
        <v>14</v>
      </c>
      <c r="K12" s="2">
        <v>11</v>
      </c>
      <c r="L12" s="2">
        <v>323</v>
      </c>
    </row>
    <row r="13" spans="1:12" x14ac:dyDescent="0.35">
      <c r="A13" s="2">
        <v>12</v>
      </c>
      <c r="B13" s="2">
        <v>54</v>
      </c>
      <c r="C13" s="2" t="s">
        <v>11</v>
      </c>
      <c r="D13" s="2" t="s">
        <v>111</v>
      </c>
      <c r="E13" s="2" t="s">
        <v>25</v>
      </c>
      <c r="F13" s="3">
        <v>40165</v>
      </c>
      <c r="G13" s="2" t="s">
        <v>22</v>
      </c>
      <c r="H13" s="4">
        <v>40165</v>
      </c>
      <c r="I13" s="5">
        <f t="shared" si="0"/>
        <v>2009</v>
      </c>
      <c r="J13" s="2" t="s">
        <v>14</v>
      </c>
      <c r="K13" s="2">
        <v>12</v>
      </c>
      <c r="L13" s="2">
        <v>377</v>
      </c>
    </row>
    <row r="14" spans="1:12" x14ac:dyDescent="0.35">
      <c r="A14" s="2">
        <v>13</v>
      </c>
      <c r="B14" s="2">
        <v>107</v>
      </c>
      <c r="C14" s="2" t="s">
        <v>11</v>
      </c>
      <c r="D14" s="2" t="s">
        <v>111</v>
      </c>
      <c r="E14" s="2" t="s">
        <v>26</v>
      </c>
      <c r="F14" s="3">
        <v>40171</v>
      </c>
      <c r="G14" s="2" t="s">
        <v>22</v>
      </c>
      <c r="H14" s="4">
        <v>40171</v>
      </c>
      <c r="I14" s="5">
        <f t="shared" si="0"/>
        <v>2009</v>
      </c>
      <c r="J14" s="2" t="s">
        <v>14</v>
      </c>
      <c r="K14" s="2">
        <v>13</v>
      </c>
      <c r="L14" s="2">
        <v>484</v>
      </c>
    </row>
    <row r="15" spans="1:12" x14ac:dyDescent="0.35">
      <c r="A15" s="2">
        <v>15</v>
      </c>
      <c r="B15" s="2">
        <v>9</v>
      </c>
      <c r="C15" s="2" t="s">
        <v>11</v>
      </c>
      <c r="D15" s="2" t="s">
        <v>111</v>
      </c>
      <c r="E15" s="2" t="s">
        <v>27</v>
      </c>
      <c r="F15" s="3">
        <v>40183</v>
      </c>
      <c r="G15" s="2" t="s">
        <v>28</v>
      </c>
      <c r="H15" s="4">
        <v>40183</v>
      </c>
      <c r="I15" s="5">
        <f t="shared" si="0"/>
        <v>2010</v>
      </c>
      <c r="J15" s="2" t="s">
        <v>14</v>
      </c>
      <c r="K15" s="2">
        <v>14</v>
      </c>
      <c r="L15" s="2">
        <v>493</v>
      </c>
    </row>
    <row r="16" spans="1:12" x14ac:dyDescent="0.35">
      <c r="A16" s="2">
        <v>16</v>
      </c>
      <c r="B16" s="2">
        <v>91</v>
      </c>
      <c r="C16" s="2" t="s">
        <v>29</v>
      </c>
      <c r="D16" s="2" t="s">
        <v>115</v>
      </c>
      <c r="E16" s="2" t="s">
        <v>27</v>
      </c>
      <c r="F16" s="3">
        <v>40185</v>
      </c>
      <c r="G16" s="2" t="s">
        <v>28</v>
      </c>
      <c r="H16" s="4">
        <v>40185</v>
      </c>
      <c r="I16" s="5">
        <f t="shared" si="0"/>
        <v>2010</v>
      </c>
      <c r="J16" s="2" t="s">
        <v>14</v>
      </c>
      <c r="K16" s="2">
        <v>15</v>
      </c>
      <c r="L16" s="2">
        <v>584</v>
      </c>
    </row>
    <row r="17" spans="1:12" x14ac:dyDescent="0.35">
      <c r="A17" s="2">
        <v>17</v>
      </c>
      <c r="B17" s="2">
        <v>71</v>
      </c>
      <c r="C17" s="2" t="s">
        <v>11</v>
      </c>
      <c r="D17" s="2" t="s">
        <v>111</v>
      </c>
      <c r="E17" s="2" t="s">
        <v>27</v>
      </c>
      <c r="F17" s="3">
        <v>40188</v>
      </c>
      <c r="G17" s="2" t="s">
        <v>28</v>
      </c>
      <c r="H17" s="4">
        <v>40188</v>
      </c>
      <c r="I17" s="5">
        <f t="shared" si="0"/>
        <v>2010</v>
      </c>
      <c r="J17" s="2" t="s">
        <v>14</v>
      </c>
      <c r="K17" s="2">
        <v>16</v>
      </c>
      <c r="L17" s="2">
        <v>655</v>
      </c>
    </row>
    <row r="18" spans="1:12" x14ac:dyDescent="0.35">
      <c r="A18" s="2">
        <v>18</v>
      </c>
      <c r="B18" s="2">
        <v>102</v>
      </c>
      <c r="C18" s="2" t="s">
        <v>29</v>
      </c>
      <c r="D18" s="2" t="s">
        <v>115</v>
      </c>
      <c r="E18" s="2" t="s">
        <v>27</v>
      </c>
      <c r="F18" s="3">
        <v>40189</v>
      </c>
      <c r="G18" s="2" t="s">
        <v>28</v>
      </c>
      <c r="H18" s="4">
        <v>40189</v>
      </c>
      <c r="I18" s="5">
        <f t="shared" si="0"/>
        <v>2010</v>
      </c>
      <c r="J18" s="2" t="s">
        <v>14</v>
      </c>
      <c r="K18" s="2">
        <v>17</v>
      </c>
      <c r="L18" s="2">
        <v>757</v>
      </c>
    </row>
    <row r="19" spans="1:12" x14ac:dyDescent="0.35">
      <c r="A19" s="2">
        <v>19</v>
      </c>
      <c r="B19" s="2">
        <v>2</v>
      </c>
      <c r="C19" s="2" t="s">
        <v>11</v>
      </c>
      <c r="D19" s="2" t="s">
        <v>111</v>
      </c>
      <c r="E19" s="2" t="s">
        <v>27</v>
      </c>
      <c r="F19" s="3">
        <v>40191</v>
      </c>
      <c r="G19" s="2" t="s">
        <v>28</v>
      </c>
      <c r="H19" s="4">
        <v>40191</v>
      </c>
      <c r="I19" s="5">
        <f t="shared" si="0"/>
        <v>2010</v>
      </c>
      <c r="J19" s="2" t="s">
        <v>14</v>
      </c>
      <c r="K19" s="2">
        <v>18</v>
      </c>
      <c r="L19" s="2">
        <v>759</v>
      </c>
    </row>
    <row r="20" spans="1:12" x14ac:dyDescent="0.35">
      <c r="A20" s="2">
        <v>20</v>
      </c>
      <c r="B20" s="2">
        <v>31</v>
      </c>
      <c r="C20" s="2" t="s">
        <v>30</v>
      </c>
      <c r="D20" s="2" t="s">
        <v>116</v>
      </c>
      <c r="E20" s="2" t="s">
        <v>31</v>
      </c>
      <c r="F20" s="3">
        <v>40230</v>
      </c>
      <c r="G20" s="2" t="s">
        <v>28</v>
      </c>
      <c r="H20" s="4">
        <v>40230</v>
      </c>
      <c r="I20" s="5">
        <f t="shared" si="0"/>
        <v>2010</v>
      </c>
      <c r="J20" s="2" t="s">
        <v>14</v>
      </c>
      <c r="K20" s="2">
        <v>19</v>
      </c>
      <c r="L20" s="2">
        <v>790</v>
      </c>
    </row>
    <row r="21" spans="1:12" x14ac:dyDescent="0.35">
      <c r="A21" s="2">
        <v>22</v>
      </c>
      <c r="B21" s="2">
        <v>57</v>
      </c>
      <c r="C21" s="2" t="s">
        <v>30</v>
      </c>
      <c r="D21" s="2" t="s">
        <v>116</v>
      </c>
      <c r="E21" s="2" t="s">
        <v>32</v>
      </c>
      <c r="F21" s="3">
        <v>40236</v>
      </c>
      <c r="G21" s="2" t="s">
        <v>28</v>
      </c>
      <c r="H21" s="4">
        <v>40236</v>
      </c>
      <c r="I21" s="5">
        <f t="shared" si="0"/>
        <v>2010</v>
      </c>
      <c r="J21" s="2" t="s">
        <v>14</v>
      </c>
      <c r="K21" s="2">
        <v>20</v>
      </c>
      <c r="L21" s="2">
        <v>847</v>
      </c>
    </row>
    <row r="22" spans="1:12" x14ac:dyDescent="0.35">
      <c r="A22" s="2">
        <v>23</v>
      </c>
      <c r="B22" s="2">
        <v>0</v>
      </c>
      <c r="C22" s="2" t="s">
        <v>33</v>
      </c>
      <c r="D22" s="2" t="s">
        <v>117</v>
      </c>
      <c r="E22" s="2" t="s">
        <v>34</v>
      </c>
      <c r="F22" s="3">
        <v>40326</v>
      </c>
      <c r="G22" s="2" t="s">
        <v>35</v>
      </c>
      <c r="H22" s="4">
        <v>40326</v>
      </c>
      <c r="I22" s="5">
        <f t="shared" si="0"/>
        <v>2010</v>
      </c>
      <c r="J22" s="2" t="s">
        <v>14</v>
      </c>
      <c r="K22" s="2">
        <v>21</v>
      </c>
      <c r="L22" s="2">
        <v>847</v>
      </c>
    </row>
    <row r="23" spans="1:12" x14ac:dyDescent="0.35">
      <c r="A23" s="2">
        <v>24</v>
      </c>
      <c r="B23" s="2">
        <v>82</v>
      </c>
      <c r="C23" s="2" t="s">
        <v>11</v>
      </c>
      <c r="D23" s="2" t="s">
        <v>111</v>
      </c>
      <c r="E23" s="2" t="s">
        <v>34</v>
      </c>
      <c r="F23" s="3">
        <v>40328</v>
      </c>
      <c r="G23" s="2" t="s">
        <v>35</v>
      </c>
      <c r="H23" s="4">
        <v>40328</v>
      </c>
      <c r="I23" s="5">
        <f t="shared" si="0"/>
        <v>2010</v>
      </c>
      <c r="J23" s="2" t="s">
        <v>14</v>
      </c>
      <c r="K23" s="2">
        <v>22</v>
      </c>
      <c r="L23" s="2">
        <v>929</v>
      </c>
    </row>
    <row r="24" spans="1:12" x14ac:dyDescent="0.35">
      <c r="A24" s="2">
        <v>25</v>
      </c>
      <c r="B24" s="2">
        <v>18</v>
      </c>
      <c r="C24" s="2" t="s">
        <v>33</v>
      </c>
      <c r="D24" s="2" t="s">
        <v>117</v>
      </c>
      <c r="E24" s="2" t="s">
        <v>36</v>
      </c>
      <c r="F24" s="3">
        <v>40332</v>
      </c>
      <c r="G24" s="2" t="s">
        <v>35</v>
      </c>
      <c r="H24" s="4">
        <v>40332</v>
      </c>
      <c r="I24" s="5">
        <f t="shared" si="0"/>
        <v>2010</v>
      </c>
      <c r="J24" s="2" t="s">
        <v>14</v>
      </c>
      <c r="K24" s="2">
        <v>23</v>
      </c>
      <c r="L24" s="2">
        <v>947</v>
      </c>
    </row>
    <row r="25" spans="1:12" x14ac:dyDescent="0.35">
      <c r="A25" s="2">
        <v>26</v>
      </c>
      <c r="B25" s="2">
        <v>68</v>
      </c>
      <c r="C25" s="2" t="s">
        <v>11</v>
      </c>
      <c r="D25" s="2" t="s">
        <v>111</v>
      </c>
      <c r="E25" s="2" t="s">
        <v>36</v>
      </c>
      <c r="F25" s="3">
        <v>40334</v>
      </c>
      <c r="G25" s="2" t="s">
        <v>35</v>
      </c>
      <c r="H25" s="4">
        <v>40334</v>
      </c>
      <c r="I25" s="5">
        <f t="shared" si="0"/>
        <v>2010</v>
      </c>
      <c r="J25" s="2" t="s">
        <v>14</v>
      </c>
      <c r="K25" s="2">
        <v>24</v>
      </c>
      <c r="L25" s="2">
        <v>1015</v>
      </c>
    </row>
    <row r="26" spans="1:12" x14ac:dyDescent="0.35">
      <c r="A26" s="2">
        <v>27</v>
      </c>
      <c r="B26" s="2">
        <v>26</v>
      </c>
      <c r="C26" s="2" t="s">
        <v>33</v>
      </c>
      <c r="D26" s="2" t="s">
        <v>117</v>
      </c>
      <c r="E26" s="2" t="s">
        <v>36</v>
      </c>
      <c r="F26" s="3">
        <v>40341</v>
      </c>
      <c r="G26" s="2" t="s">
        <v>35</v>
      </c>
      <c r="H26" s="4">
        <v>40341</v>
      </c>
      <c r="I26" s="5">
        <f t="shared" si="0"/>
        <v>2010</v>
      </c>
      <c r="J26" s="2" t="s">
        <v>37</v>
      </c>
      <c r="K26" s="2">
        <v>25</v>
      </c>
      <c r="L26" s="2">
        <v>1041</v>
      </c>
    </row>
    <row r="27" spans="1:12" x14ac:dyDescent="0.35">
      <c r="A27" s="2">
        <v>29</v>
      </c>
      <c r="B27" s="2">
        <v>11</v>
      </c>
      <c r="C27" s="2" t="s">
        <v>29</v>
      </c>
      <c r="D27" s="2" t="s">
        <v>115</v>
      </c>
      <c r="E27" s="2" t="s">
        <v>12</v>
      </c>
      <c r="F27" s="3">
        <v>40345</v>
      </c>
      <c r="G27" s="2" t="s">
        <v>35</v>
      </c>
      <c r="H27" s="4">
        <v>40345</v>
      </c>
      <c r="I27" s="5">
        <f t="shared" si="0"/>
        <v>2010</v>
      </c>
      <c r="J27" s="2" t="s">
        <v>14</v>
      </c>
      <c r="K27" s="2">
        <v>26</v>
      </c>
      <c r="L27" s="2">
        <v>1052</v>
      </c>
    </row>
    <row r="28" spans="1:12" x14ac:dyDescent="0.35">
      <c r="A28" s="2">
        <v>30</v>
      </c>
      <c r="B28" s="2">
        <v>18</v>
      </c>
      <c r="C28" s="2" t="s">
        <v>16</v>
      </c>
      <c r="D28" s="2" t="s">
        <v>112</v>
      </c>
      <c r="E28" s="2" t="s">
        <v>12</v>
      </c>
      <c r="F28" s="3">
        <v>40348</v>
      </c>
      <c r="G28" s="2" t="s">
        <v>35</v>
      </c>
      <c r="H28" s="4">
        <v>40348</v>
      </c>
      <c r="I28" s="5">
        <f t="shared" si="0"/>
        <v>2010</v>
      </c>
      <c r="J28" s="2" t="s">
        <v>14</v>
      </c>
      <c r="K28" s="2">
        <v>27</v>
      </c>
      <c r="L28" s="2">
        <v>1070</v>
      </c>
    </row>
    <row r="29" spans="1:12" x14ac:dyDescent="0.35">
      <c r="A29" s="2">
        <v>31</v>
      </c>
      <c r="B29" s="2">
        <v>10</v>
      </c>
      <c r="C29" s="2" t="s">
        <v>11</v>
      </c>
      <c r="D29" s="2" t="s">
        <v>111</v>
      </c>
      <c r="E29" s="2" t="s">
        <v>12</v>
      </c>
      <c r="F29" s="3">
        <v>40351</v>
      </c>
      <c r="G29" s="2" t="s">
        <v>35</v>
      </c>
      <c r="H29" s="4">
        <v>40351</v>
      </c>
      <c r="I29" s="5">
        <f t="shared" si="0"/>
        <v>2010</v>
      </c>
      <c r="J29" s="2" t="s">
        <v>14</v>
      </c>
      <c r="K29" s="2">
        <v>28</v>
      </c>
      <c r="L29" s="2">
        <v>1080</v>
      </c>
    </row>
    <row r="30" spans="1:12" x14ac:dyDescent="0.35">
      <c r="A30" s="2">
        <v>32</v>
      </c>
      <c r="B30" s="2">
        <v>28</v>
      </c>
      <c r="C30" s="2" t="s">
        <v>11</v>
      </c>
      <c r="D30" s="2" t="s">
        <v>111</v>
      </c>
      <c r="E30" s="2" t="s">
        <v>12</v>
      </c>
      <c r="F30" s="3">
        <v>40353</v>
      </c>
      <c r="G30" s="2" t="s">
        <v>35</v>
      </c>
      <c r="H30" s="4">
        <v>40353</v>
      </c>
      <c r="I30" s="5">
        <f t="shared" si="0"/>
        <v>2010</v>
      </c>
      <c r="J30" s="2" t="s">
        <v>14</v>
      </c>
      <c r="K30" s="2">
        <v>29</v>
      </c>
      <c r="L30" s="2">
        <v>1108</v>
      </c>
    </row>
    <row r="31" spans="1:12" x14ac:dyDescent="0.35">
      <c r="A31" s="2">
        <v>33</v>
      </c>
      <c r="B31" s="2">
        <v>0</v>
      </c>
      <c r="C31" s="2" t="s">
        <v>11</v>
      </c>
      <c r="D31" s="2" t="s">
        <v>111</v>
      </c>
      <c r="E31" s="2" t="s">
        <v>12</v>
      </c>
      <c r="F31" s="3">
        <v>40406</v>
      </c>
      <c r="G31" s="2" t="s">
        <v>13</v>
      </c>
      <c r="H31" s="4">
        <v>40406</v>
      </c>
      <c r="I31" s="5">
        <f t="shared" si="0"/>
        <v>2010</v>
      </c>
      <c r="J31" s="2" t="s">
        <v>14</v>
      </c>
      <c r="K31" s="2">
        <v>30</v>
      </c>
      <c r="L31" s="2">
        <v>1108</v>
      </c>
    </row>
    <row r="32" spans="1:12" x14ac:dyDescent="0.35">
      <c r="A32" s="2">
        <v>34</v>
      </c>
      <c r="B32" s="2">
        <v>8</v>
      </c>
      <c r="C32" s="2" t="s">
        <v>38</v>
      </c>
      <c r="D32" s="2" t="s">
        <v>118</v>
      </c>
      <c r="E32" s="2" t="s">
        <v>12</v>
      </c>
      <c r="F32" s="3">
        <v>40415</v>
      </c>
      <c r="G32" s="2" t="s">
        <v>13</v>
      </c>
      <c r="H32" s="4">
        <v>40415</v>
      </c>
      <c r="I32" s="5">
        <f t="shared" si="0"/>
        <v>2010</v>
      </c>
      <c r="J32" s="2" t="s">
        <v>14</v>
      </c>
      <c r="K32" s="2">
        <v>31</v>
      </c>
      <c r="L32" s="2">
        <v>1116</v>
      </c>
    </row>
    <row r="33" spans="1:12" x14ac:dyDescent="0.35">
      <c r="A33" s="2">
        <v>35</v>
      </c>
      <c r="B33" s="2">
        <v>37</v>
      </c>
      <c r="C33" s="2" t="s">
        <v>11</v>
      </c>
      <c r="D33" s="2" t="s">
        <v>111</v>
      </c>
      <c r="E33" s="2" t="s">
        <v>12</v>
      </c>
      <c r="F33" s="3">
        <v>40418</v>
      </c>
      <c r="G33" s="2" t="s">
        <v>13</v>
      </c>
      <c r="H33" s="4">
        <v>40418</v>
      </c>
      <c r="I33" s="5">
        <f t="shared" si="0"/>
        <v>2010</v>
      </c>
      <c r="J33" s="2" t="s">
        <v>14</v>
      </c>
      <c r="K33" s="2">
        <v>32</v>
      </c>
      <c r="L33" s="2">
        <v>1153</v>
      </c>
    </row>
    <row r="34" spans="1:12" x14ac:dyDescent="0.35">
      <c r="A34" s="2">
        <v>36</v>
      </c>
      <c r="B34" s="2">
        <v>118</v>
      </c>
      <c r="C34" s="2" t="s">
        <v>20</v>
      </c>
      <c r="D34" s="2" t="s">
        <v>114</v>
      </c>
      <c r="E34" s="2" t="s">
        <v>39</v>
      </c>
      <c r="F34" s="3">
        <v>40471</v>
      </c>
      <c r="G34" s="2" t="s">
        <v>22</v>
      </c>
      <c r="H34" s="4">
        <v>40471</v>
      </c>
      <c r="I34" s="5">
        <f t="shared" si="0"/>
        <v>2010</v>
      </c>
      <c r="J34" s="2" t="s">
        <v>14</v>
      </c>
      <c r="K34" s="2">
        <v>33</v>
      </c>
      <c r="L34" s="2">
        <v>1271</v>
      </c>
    </row>
    <row r="35" spans="1:12" x14ac:dyDescent="0.35">
      <c r="A35" s="2">
        <v>37</v>
      </c>
      <c r="B35" s="2">
        <v>105</v>
      </c>
      <c r="C35" s="2" t="s">
        <v>38</v>
      </c>
      <c r="D35" s="2" t="s">
        <v>118</v>
      </c>
      <c r="E35" s="2" t="s">
        <v>40</v>
      </c>
      <c r="F35" s="3">
        <v>40510</v>
      </c>
      <c r="G35" s="2" t="s">
        <v>22</v>
      </c>
      <c r="H35" s="4">
        <v>40510</v>
      </c>
      <c r="I35" s="5">
        <f t="shared" si="0"/>
        <v>2010</v>
      </c>
      <c r="J35" s="2" t="s">
        <v>14</v>
      </c>
      <c r="K35" s="2">
        <v>34</v>
      </c>
      <c r="L35" s="2">
        <v>1376</v>
      </c>
    </row>
    <row r="36" spans="1:12" x14ac:dyDescent="0.35">
      <c r="A36" s="2">
        <v>38</v>
      </c>
      <c r="B36" s="2">
        <v>64</v>
      </c>
      <c r="C36" s="2" t="s">
        <v>38</v>
      </c>
      <c r="D36" s="2" t="s">
        <v>118</v>
      </c>
      <c r="E36" s="2" t="s">
        <v>31</v>
      </c>
      <c r="F36" s="3">
        <v>40513</v>
      </c>
      <c r="G36" s="2" t="s">
        <v>22</v>
      </c>
      <c r="H36" s="4">
        <v>40513</v>
      </c>
      <c r="I36" s="5">
        <f t="shared" si="0"/>
        <v>2010</v>
      </c>
      <c r="J36" s="2" t="s">
        <v>14</v>
      </c>
      <c r="K36" s="2">
        <v>35</v>
      </c>
      <c r="L36" s="2">
        <v>1440</v>
      </c>
    </row>
    <row r="37" spans="1:12" x14ac:dyDescent="0.35">
      <c r="A37" s="2">
        <v>39</v>
      </c>
      <c r="B37" s="2">
        <v>63</v>
      </c>
      <c r="C37" s="2" t="s">
        <v>38</v>
      </c>
      <c r="D37" s="2" t="s">
        <v>118</v>
      </c>
      <c r="E37" s="2" t="s">
        <v>21</v>
      </c>
      <c r="F37" s="3">
        <v>40516</v>
      </c>
      <c r="G37" s="2" t="s">
        <v>22</v>
      </c>
      <c r="H37" s="4">
        <v>40516</v>
      </c>
      <c r="I37" s="5">
        <f t="shared" si="0"/>
        <v>2010</v>
      </c>
      <c r="J37" s="2" t="s">
        <v>14</v>
      </c>
      <c r="K37" s="2">
        <v>36</v>
      </c>
      <c r="L37" s="2">
        <v>1503</v>
      </c>
    </row>
    <row r="38" spans="1:12" x14ac:dyDescent="0.35">
      <c r="A38" s="2">
        <v>40</v>
      </c>
      <c r="B38" s="2">
        <v>0</v>
      </c>
      <c r="C38" s="2" t="s">
        <v>38</v>
      </c>
      <c r="D38" s="2" t="s">
        <v>118</v>
      </c>
      <c r="E38" s="2" t="s">
        <v>41</v>
      </c>
      <c r="F38" s="3">
        <v>40519</v>
      </c>
      <c r="G38" s="2" t="s">
        <v>22</v>
      </c>
      <c r="H38" s="4">
        <v>40519</v>
      </c>
      <c r="I38" s="5">
        <f t="shared" si="0"/>
        <v>2010</v>
      </c>
      <c r="J38" s="2" t="s">
        <v>14</v>
      </c>
      <c r="K38" s="2">
        <v>37</v>
      </c>
      <c r="L38" s="2">
        <v>1503</v>
      </c>
    </row>
    <row r="39" spans="1:12" x14ac:dyDescent="0.35">
      <c r="A39" s="2">
        <v>41</v>
      </c>
      <c r="B39" s="2">
        <v>2</v>
      </c>
      <c r="C39" s="2" t="s">
        <v>38</v>
      </c>
      <c r="D39" s="2" t="s">
        <v>118</v>
      </c>
      <c r="E39" s="2" t="s">
        <v>42</v>
      </c>
      <c r="F39" s="3">
        <v>40522</v>
      </c>
      <c r="G39" s="2" t="s">
        <v>22</v>
      </c>
      <c r="H39" s="4">
        <v>40522</v>
      </c>
      <c r="I39" s="5">
        <f t="shared" si="0"/>
        <v>2010</v>
      </c>
      <c r="J39" s="2" t="s">
        <v>14</v>
      </c>
      <c r="K39" s="2">
        <v>38</v>
      </c>
      <c r="L39" s="2">
        <v>1505</v>
      </c>
    </row>
    <row r="40" spans="1:12" x14ac:dyDescent="0.35">
      <c r="A40" s="2">
        <v>42</v>
      </c>
      <c r="B40" s="2">
        <v>28</v>
      </c>
      <c r="C40" s="2" t="s">
        <v>30</v>
      </c>
      <c r="D40" s="2" t="s">
        <v>116</v>
      </c>
      <c r="E40" s="2" t="s">
        <v>43</v>
      </c>
      <c r="F40" s="3">
        <v>40552</v>
      </c>
      <c r="G40" s="2" t="s">
        <v>28</v>
      </c>
      <c r="H40" s="4">
        <v>40552</v>
      </c>
      <c r="I40" s="5">
        <f t="shared" si="0"/>
        <v>2011</v>
      </c>
      <c r="J40" s="2" t="s">
        <v>37</v>
      </c>
      <c r="K40" s="2">
        <v>39</v>
      </c>
      <c r="L40" s="2">
        <v>1533</v>
      </c>
    </row>
    <row r="41" spans="1:12" x14ac:dyDescent="0.35">
      <c r="A41" s="2">
        <v>43</v>
      </c>
      <c r="B41" s="2">
        <v>54</v>
      </c>
      <c r="C41" s="2" t="s">
        <v>30</v>
      </c>
      <c r="D41" s="2" t="s">
        <v>116</v>
      </c>
      <c r="E41" s="2" t="s">
        <v>43</v>
      </c>
      <c r="F41" s="3">
        <v>40555</v>
      </c>
      <c r="G41" s="2" t="s">
        <v>28</v>
      </c>
      <c r="H41" s="4">
        <v>40555</v>
      </c>
      <c r="I41" s="5">
        <f t="shared" si="0"/>
        <v>2011</v>
      </c>
      <c r="J41" s="2" t="s">
        <v>14</v>
      </c>
      <c r="K41" s="2">
        <v>40</v>
      </c>
      <c r="L41" s="2">
        <v>1587</v>
      </c>
    </row>
    <row r="42" spans="1:12" x14ac:dyDescent="0.35">
      <c r="A42" s="2">
        <v>44</v>
      </c>
      <c r="B42" s="2">
        <v>22</v>
      </c>
      <c r="C42" s="2" t="s">
        <v>30</v>
      </c>
      <c r="D42" s="2" t="s">
        <v>116</v>
      </c>
      <c r="E42" s="2" t="s">
        <v>19</v>
      </c>
      <c r="F42" s="3">
        <v>40558</v>
      </c>
      <c r="G42" s="2" t="s">
        <v>28</v>
      </c>
      <c r="H42" s="4">
        <v>40558</v>
      </c>
      <c r="I42" s="5">
        <f t="shared" si="0"/>
        <v>2011</v>
      </c>
      <c r="J42" s="2" t="s">
        <v>14</v>
      </c>
      <c r="K42" s="2">
        <v>41</v>
      </c>
      <c r="L42" s="2">
        <v>1609</v>
      </c>
    </row>
    <row r="43" spans="1:12" x14ac:dyDescent="0.35">
      <c r="A43" s="2">
        <v>45</v>
      </c>
      <c r="B43" s="2">
        <v>28</v>
      </c>
      <c r="C43" s="2" t="s">
        <v>30</v>
      </c>
      <c r="D43" s="2" t="s">
        <v>116</v>
      </c>
      <c r="E43" s="2" t="s">
        <v>44</v>
      </c>
      <c r="F43" s="3">
        <v>40561</v>
      </c>
      <c r="G43" s="2" t="s">
        <v>28</v>
      </c>
      <c r="H43" s="4">
        <v>40561</v>
      </c>
      <c r="I43" s="5">
        <f t="shared" si="0"/>
        <v>2011</v>
      </c>
      <c r="J43" s="2" t="s">
        <v>14</v>
      </c>
      <c r="K43" s="2">
        <v>42</v>
      </c>
      <c r="L43" s="2">
        <v>1637</v>
      </c>
    </row>
    <row r="44" spans="1:12" x14ac:dyDescent="0.35">
      <c r="A44" s="2">
        <v>46</v>
      </c>
      <c r="B44" s="2">
        <v>87</v>
      </c>
      <c r="C44" s="2" t="s">
        <v>30</v>
      </c>
      <c r="D44" s="2" t="s">
        <v>116</v>
      </c>
      <c r="E44" s="2" t="s">
        <v>45</v>
      </c>
      <c r="F44" s="3">
        <v>40564</v>
      </c>
      <c r="G44" s="2" t="s">
        <v>28</v>
      </c>
      <c r="H44" s="4">
        <v>40564</v>
      </c>
      <c r="I44" s="5">
        <f t="shared" si="0"/>
        <v>2011</v>
      </c>
      <c r="J44" s="2" t="s">
        <v>14</v>
      </c>
      <c r="K44" s="2">
        <v>43</v>
      </c>
      <c r="L44" s="2">
        <v>1724</v>
      </c>
    </row>
    <row r="45" spans="1:12" x14ac:dyDescent="0.35">
      <c r="A45" s="2">
        <v>47</v>
      </c>
      <c r="B45" s="2">
        <v>2</v>
      </c>
      <c r="C45" s="2" t="s">
        <v>30</v>
      </c>
      <c r="D45" s="2" t="s">
        <v>116</v>
      </c>
      <c r="E45" s="2" t="s">
        <v>17</v>
      </c>
      <c r="F45" s="3">
        <v>40566</v>
      </c>
      <c r="G45" s="2" t="s">
        <v>28</v>
      </c>
      <c r="H45" s="4">
        <v>40566</v>
      </c>
      <c r="I45" s="5">
        <f t="shared" si="0"/>
        <v>2011</v>
      </c>
      <c r="J45" s="2" t="s">
        <v>14</v>
      </c>
      <c r="K45" s="2">
        <v>44</v>
      </c>
      <c r="L45" s="2">
        <v>1726</v>
      </c>
    </row>
    <row r="46" spans="1:12" x14ac:dyDescent="0.35">
      <c r="A46" s="2">
        <v>48</v>
      </c>
      <c r="B46" s="2">
        <v>100</v>
      </c>
      <c r="C46" s="2" t="s">
        <v>29</v>
      </c>
      <c r="D46" s="2" t="s">
        <v>115</v>
      </c>
      <c r="E46" s="2" t="s">
        <v>27</v>
      </c>
      <c r="F46" s="3">
        <v>40593</v>
      </c>
      <c r="G46" s="2" t="s">
        <v>28</v>
      </c>
      <c r="H46" s="4">
        <v>40593</v>
      </c>
      <c r="I46" s="5">
        <f t="shared" si="0"/>
        <v>2011</v>
      </c>
      <c r="J46" s="2" t="s">
        <v>14</v>
      </c>
      <c r="K46" s="2">
        <v>45</v>
      </c>
      <c r="L46" s="2">
        <v>1826</v>
      </c>
    </row>
    <row r="47" spans="1:12" x14ac:dyDescent="0.35">
      <c r="A47" s="2">
        <v>49</v>
      </c>
      <c r="B47" s="2">
        <v>8</v>
      </c>
      <c r="C47" s="2" t="s">
        <v>46</v>
      </c>
      <c r="D47" s="2" t="s">
        <v>119</v>
      </c>
      <c r="E47" s="2" t="s">
        <v>41</v>
      </c>
      <c r="F47" s="3">
        <v>40601</v>
      </c>
      <c r="G47" s="2" t="s">
        <v>28</v>
      </c>
      <c r="H47" s="4">
        <v>40601</v>
      </c>
      <c r="I47" s="5">
        <f t="shared" si="0"/>
        <v>2011</v>
      </c>
      <c r="J47" s="2" t="s">
        <v>14</v>
      </c>
      <c r="K47" s="2">
        <v>46</v>
      </c>
      <c r="L47" s="2">
        <v>1834</v>
      </c>
    </row>
    <row r="48" spans="1:12" x14ac:dyDescent="0.35">
      <c r="A48" s="2">
        <v>50</v>
      </c>
      <c r="B48" s="2">
        <v>34</v>
      </c>
      <c r="C48" s="2" t="s">
        <v>47</v>
      </c>
      <c r="D48" s="2" t="s">
        <v>120</v>
      </c>
      <c r="E48" s="2" t="s">
        <v>41</v>
      </c>
      <c r="F48" s="3">
        <v>40608</v>
      </c>
      <c r="G48" s="2" t="s">
        <v>28</v>
      </c>
      <c r="H48" s="4">
        <v>40608</v>
      </c>
      <c r="I48" s="5">
        <f t="shared" si="0"/>
        <v>2011</v>
      </c>
      <c r="J48" s="2" t="s">
        <v>14</v>
      </c>
      <c r="K48" s="2">
        <v>47</v>
      </c>
      <c r="L48" s="2">
        <v>1868</v>
      </c>
    </row>
    <row r="49" spans="1:12" x14ac:dyDescent="0.35">
      <c r="A49" s="2">
        <v>51</v>
      </c>
      <c r="B49" s="2">
        <v>12</v>
      </c>
      <c r="C49" s="2" t="s">
        <v>48</v>
      </c>
      <c r="D49" s="2" t="s">
        <v>121</v>
      </c>
      <c r="E49" s="2" t="s">
        <v>49</v>
      </c>
      <c r="F49" s="3">
        <v>40611</v>
      </c>
      <c r="G49" s="2" t="s">
        <v>28</v>
      </c>
      <c r="H49" s="4">
        <v>40611</v>
      </c>
      <c r="I49" s="5">
        <f t="shared" si="0"/>
        <v>2011</v>
      </c>
      <c r="J49" s="2" t="s">
        <v>14</v>
      </c>
      <c r="K49" s="2">
        <v>48</v>
      </c>
      <c r="L49" s="2">
        <v>1880</v>
      </c>
    </row>
    <row r="50" spans="1:12" x14ac:dyDescent="0.35">
      <c r="A50" s="2">
        <v>52</v>
      </c>
      <c r="B50" s="2">
        <v>1</v>
      </c>
      <c r="C50" s="2" t="s">
        <v>30</v>
      </c>
      <c r="D50" s="2" t="s">
        <v>116</v>
      </c>
      <c r="E50" s="2" t="s">
        <v>25</v>
      </c>
      <c r="F50" s="3">
        <v>40614</v>
      </c>
      <c r="G50" s="2" t="s">
        <v>28</v>
      </c>
      <c r="H50" s="4">
        <v>40614</v>
      </c>
      <c r="I50" s="5">
        <f t="shared" si="0"/>
        <v>2011</v>
      </c>
      <c r="J50" s="2" t="s">
        <v>14</v>
      </c>
      <c r="K50" s="2">
        <v>49</v>
      </c>
      <c r="L50" s="2">
        <v>1881</v>
      </c>
    </row>
    <row r="51" spans="1:12" x14ac:dyDescent="0.35">
      <c r="A51" s="2">
        <v>53</v>
      </c>
      <c r="B51" s="2">
        <v>59</v>
      </c>
      <c r="C51" s="2" t="s">
        <v>18</v>
      </c>
      <c r="D51" s="2" t="s">
        <v>113</v>
      </c>
      <c r="E51" s="2" t="s">
        <v>42</v>
      </c>
      <c r="F51" s="3">
        <v>40622</v>
      </c>
      <c r="G51" s="2" t="s">
        <v>28</v>
      </c>
      <c r="H51" s="4">
        <v>40622</v>
      </c>
      <c r="I51" s="5">
        <f t="shared" si="0"/>
        <v>2011</v>
      </c>
      <c r="J51" s="2" t="s">
        <v>14</v>
      </c>
      <c r="K51" s="2">
        <v>50</v>
      </c>
      <c r="L51" s="2">
        <v>1940</v>
      </c>
    </row>
    <row r="52" spans="1:12" x14ac:dyDescent="0.35">
      <c r="A52" s="2">
        <v>54</v>
      </c>
      <c r="B52" s="2">
        <v>24</v>
      </c>
      <c r="C52" s="2" t="s">
        <v>20</v>
      </c>
      <c r="D52" s="2" t="s">
        <v>114</v>
      </c>
      <c r="E52" s="2" t="s">
        <v>32</v>
      </c>
      <c r="F52" s="3">
        <v>40626</v>
      </c>
      <c r="G52" s="2" t="s">
        <v>28</v>
      </c>
      <c r="H52" s="4">
        <v>40626</v>
      </c>
      <c r="I52" s="5">
        <f t="shared" si="0"/>
        <v>2011</v>
      </c>
      <c r="J52" s="2" t="s">
        <v>14</v>
      </c>
      <c r="K52" s="2">
        <v>51</v>
      </c>
      <c r="L52" s="2">
        <v>1964</v>
      </c>
    </row>
    <row r="53" spans="1:12" x14ac:dyDescent="0.35">
      <c r="A53" s="2">
        <v>55</v>
      </c>
      <c r="B53" s="2">
        <v>9</v>
      </c>
      <c r="C53" s="2" t="s">
        <v>16</v>
      </c>
      <c r="D53" s="2" t="s">
        <v>112</v>
      </c>
      <c r="E53" s="2" t="s">
        <v>23</v>
      </c>
      <c r="F53" s="3">
        <v>40632</v>
      </c>
      <c r="G53" s="2" t="s">
        <v>28</v>
      </c>
      <c r="H53" s="4">
        <v>40632</v>
      </c>
      <c r="I53" s="5">
        <f t="shared" si="0"/>
        <v>2011</v>
      </c>
      <c r="J53" s="2" t="s">
        <v>14</v>
      </c>
      <c r="K53" s="2">
        <v>52</v>
      </c>
      <c r="L53" s="2">
        <v>1973</v>
      </c>
    </row>
    <row r="54" spans="1:12" x14ac:dyDescent="0.35">
      <c r="A54" s="2">
        <v>56</v>
      </c>
      <c r="B54" s="2">
        <v>35</v>
      </c>
      <c r="C54" s="2" t="s">
        <v>11</v>
      </c>
      <c r="D54" s="2" t="s">
        <v>111</v>
      </c>
      <c r="E54" s="2" t="s">
        <v>50</v>
      </c>
      <c r="F54" s="3">
        <v>40635</v>
      </c>
      <c r="G54" s="2" t="s">
        <v>35</v>
      </c>
      <c r="H54" s="4">
        <v>40635</v>
      </c>
      <c r="I54" s="5">
        <f t="shared" si="0"/>
        <v>2011</v>
      </c>
      <c r="J54" s="2" t="s">
        <v>14</v>
      </c>
      <c r="K54" s="2">
        <v>53</v>
      </c>
      <c r="L54" s="2">
        <v>2008</v>
      </c>
    </row>
    <row r="55" spans="1:12" x14ac:dyDescent="0.35">
      <c r="A55" s="2">
        <v>57</v>
      </c>
      <c r="B55" s="2">
        <v>14</v>
      </c>
      <c r="C55" s="2" t="s">
        <v>18</v>
      </c>
      <c r="D55" s="2" t="s">
        <v>113</v>
      </c>
      <c r="E55" s="2" t="s">
        <v>51</v>
      </c>
      <c r="F55" s="3">
        <v>40698</v>
      </c>
      <c r="G55" s="2" t="s">
        <v>35</v>
      </c>
      <c r="H55" s="4">
        <v>40698</v>
      </c>
      <c r="I55" s="5">
        <f t="shared" si="0"/>
        <v>2011</v>
      </c>
      <c r="J55" s="2" t="s">
        <v>37</v>
      </c>
      <c r="K55" s="2">
        <v>54</v>
      </c>
      <c r="L55" s="2">
        <v>2022</v>
      </c>
    </row>
    <row r="56" spans="1:12" x14ac:dyDescent="0.35">
      <c r="A56" s="2">
        <v>58</v>
      </c>
      <c r="B56" s="2">
        <v>2</v>
      </c>
      <c r="C56" s="2" t="s">
        <v>18</v>
      </c>
      <c r="D56" s="2" t="s">
        <v>113</v>
      </c>
      <c r="E56" s="2" t="s">
        <v>51</v>
      </c>
      <c r="F56" s="3">
        <v>40700</v>
      </c>
      <c r="G56" s="2" t="s">
        <v>35</v>
      </c>
      <c r="H56" s="4">
        <v>40700</v>
      </c>
      <c r="I56" s="5">
        <f t="shared" si="0"/>
        <v>2011</v>
      </c>
      <c r="J56" s="2" t="s">
        <v>14</v>
      </c>
      <c r="K56" s="2">
        <v>55</v>
      </c>
      <c r="L56" s="2">
        <v>2024</v>
      </c>
    </row>
    <row r="57" spans="1:12" x14ac:dyDescent="0.35">
      <c r="A57" s="2">
        <v>59</v>
      </c>
      <c r="B57" s="2">
        <v>81</v>
      </c>
      <c r="C57" s="2" t="s">
        <v>18</v>
      </c>
      <c r="D57" s="2" t="s">
        <v>113</v>
      </c>
      <c r="E57" s="2" t="s">
        <v>51</v>
      </c>
      <c r="F57" s="3">
        <v>40702</v>
      </c>
      <c r="G57" s="2" t="s">
        <v>35</v>
      </c>
      <c r="H57" s="4">
        <v>40702</v>
      </c>
      <c r="I57" s="5">
        <f t="shared" si="0"/>
        <v>2011</v>
      </c>
      <c r="J57" s="2" t="s">
        <v>14</v>
      </c>
      <c r="K57" s="2">
        <v>56</v>
      </c>
      <c r="L57" s="2">
        <v>2105</v>
      </c>
    </row>
    <row r="58" spans="1:12" x14ac:dyDescent="0.35">
      <c r="A58" s="2">
        <v>60</v>
      </c>
      <c r="B58" s="2">
        <v>0</v>
      </c>
      <c r="C58" s="2" t="s">
        <v>18</v>
      </c>
      <c r="D58" s="2" t="s">
        <v>113</v>
      </c>
      <c r="E58" s="2" t="s">
        <v>52</v>
      </c>
      <c r="F58" s="3">
        <v>40705</v>
      </c>
      <c r="G58" s="2" t="s">
        <v>35</v>
      </c>
      <c r="H58" s="4">
        <v>40705</v>
      </c>
      <c r="I58" s="5">
        <f t="shared" si="0"/>
        <v>2011</v>
      </c>
      <c r="J58" s="2" t="s">
        <v>14</v>
      </c>
      <c r="K58" s="2">
        <v>57</v>
      </c>
      <c r="L58" s="2">
        <v>2105</v>
      </c>
    </row>
    <row r="59" spans="1:12" x14ac:dyDescent="0.35">
      <c r="A59" s="2">
        <v>61</v>
      </c>
      <c r="B59" s="2">
        <v>22</v>
      </c>
      <c r="C59" s="2" t="s">
        <v>18</v>
      </c>
      <c r="D59" s="2" t="s">
        <v>113</v>
      </c>
      <c r="E59" s="2" t="s">
        <v>52</v>
      </c>
      <c r="F59" s="3">
        <v>40707</v>
      </c>
      <c r="G59" s="2" t="s">
        <v>35</v>
      </c>
      <c r="H59" s="4">
        <v>40707</v>
      </c>
      <c r="I59" s="5">
        <f t="shared" si="0"/>
        <v>2011</v>
      </c>
      <c r="J59" s="2" t="s">
        <v>14</v>
      </c>
      <c r="K59" s="2">
        <v>58</v>
      </c>
      <c r="L59" s="2">
        <v>2127</v>
      </c>
    </row>
    <row r="60" spans="1:12" x14ac:dyDescent="0.35">
      <c r="A60" s="2">
        <v>62</v>
      </c>
      <c r="B60" s="2">
        <v>94</v>
      </c>
      <c r="C60" s="2" t="s">
        <v>18</v>
      </c>
      <c r="D60" s="2" t="s">
        <v>113</v>
      </c>
      <c r="E60" s="2" t="s">
        <v>53</v>
      </c>
      <c r="F60" s="3">
        <v>40710</v>
      </c>
      <c r="G60" s="2" t="s">
        <v>35</v>
      </c>
      <c r="H60" s="4">
        <v>40710</v>
      </c>
      <c r="I60" s="5">
        <f t="shared" si="0"/>
        <v>2011</v>
      </c>
      <c r="J60" s="2" t="s">
        <v>14</v>
      </c>
      <c r="K60" s="2">
        <v>59</v>
      </c>
      <c r="L60" s="2">
        <v>2221</v>
      </c>
    </row>
    <row r="61" spans="1:12" x14ac:dyDescent="0.35">
      <c r="A61" s="2">
        <v>63</v>
      </c>
      <c r="B61" s="2">
        <v>4</v>
      </c>
      <c r="C61" s="2" t="s">
        <v>18</v>
      </c>
      <c r="D61" s="2" t="s">
        <v>113</v>
      </c>
      <c r="E61" s="2" t="s">
        <v>53</v>
      </c>
      <c r="F61" s="3">
        <v>40714</v>
      </c>
      <c r="G61" s="2" t="s">
        <v>35</v>
      </c>
      <c r="H61" s="4">
        <v>40714</v>
      </c>
      <c r="I61" s="5">
        <f t="shared" si="0"/>
        <v>2011</v>
      </c>
      <c r="J61" s="2" t="s">
        <v>54</v>
      </c>
      <c r="K61" s="2">
        <v>60</v>
      </c>
      <c r="L61" s="2">
        <v>2225</v>
      </c>
    </row>
    <row r="62" spans="1:12" x14ac:dyDescent="0.35">
      <c r="A62" s="2">
        <v>64</v>
      </c>
      <c r="B62" s="2">
        <v>15</v>
      </c>
      <c r="C62" s="2" t="s">
        <v>18</v>
      </c>
      <c r="D62" s="2" t="s">
        <v>113</v>
      </c>
      <c r="E62" s="2" t="s">
        <v>53</v>
      </c>
      <c r="F62" s="3">
        <v>40714</v>
      </c>
      <c r="G62" s="2" t="s">
        <v>35</v>
      </c>
      <c r="H62" s="4">
        <v>40714</v>
      </c>
      <c r="I62" s="5">
        <f t="shared" si="0"/>
        <v>2011</v>
      </c>
      <c r="J62" s="2" t="s">
        <v>54</v>
      </c>
      <c r="K62" s="2">
        <v>61</v>
      </c>
      <c r="L62" s="2">
        <v>2240</v>
      </c>
    </row>
    <row r="63" spans="1:12" x14ac:dyDescent="0.35">
      <c r="A63" s="2">
        <v>65</v>
      </c>
      <c r="B63" s="2">
        <v>0</v>
      </c>
      <c r="C63" s="2" t="s">
        <v>18</v>
      </c>
      <c r="D63" s="2" t="s">
        <v>113</v>
      </c>
      <c r="E63" s="2" t="s">
        <v>55</v>
      </c>
      <c r="F63" s="3">
        <v>40722</v>
      </c>
      <c r="G63" s="2" t="s">
        <v>35</v>
      </c>
      <c r="H63" s="4">
        <v>40722</v>
      </c>
      <c r="I63" s="5">
        <f t="shared" si="0"/>
        <v>2011</v>
      </c>
      <c r="J63" s="2" t="s">
        <v>54</v>
      </c>
      <c r="K63" s="2">
        <v>62</v>
      </c>
      <c r="L63" s="2">
        <v>2240</v>
      </c>
    </row>
    <row r="64" spans="1:12" x14ac:dyDescent="0.35">
      <c r="A64" s="2">
        <v>66</v>
      </c>
      <c r="B64" s="2">
        <v>27</v>
      </c>
      <c r="C64" s="2" t="s">
        <v>18</v>
      </c>
      <c r="D64" s="2" t="s">
        <v>113</v>
      </c>
      <c r="E64" s="2" t="s">
        <v>55</v>
      </c>
      <c r="F64" s="3">
        <v>40722</v>
      </c>
      <c r="G64" s="2" t="s">
        <v>35</v>
      </c>
      <c r="H64" s="4">
        <v>40722</v>
      </c>
      <c r="I64" s="5">
        <f t="shared" si="0"/>
        <v>2011</v>
      </c>
      <c r="J64" s="2" t="s">
        <v>54</v>
      </c>
      <c r="K64" s="2">
        <v>63</v>
      </c>
      <c r="L64" s="2">
        <v>2267</v>
      </c>
    </row>
    <row r="65" spans="1:12" x14ac:dyDescent="0.35">
      <c r="A65" s="2">
        <v>67</v>
      </c>
      <c r="B65" s="2">
        <v>30</v>
      </c>
      <c r="C65" s="2" t="s">
        <v>18</v>
      </c>
      <c r="D65" s="2" t="s">
        <v>113</v>
      </c>
      <c r="E65" s="2" t="s">
        <v>56</v>
      </c>
      <c r="F65" s="3">
        <v>40730</v>
      </c>
      <c r="G65" s="2" t="s">
        <v>13</v>
      </c>
      <c r="H65" s="4">
        <v>40730</v>
      </c>
      <c r="I65" s="5">
        <f t="shared" si="0"/>
        <v>2011</v>
      </c>
      <c r="J65" s="2" t="s">
        <v>54</v>
      </c>
      <c r="K65" s="2">
        <v>64</v>
      </c>
      <c r="L65" s="2">
        <v>2297</v>
      </c>
    </row>
    <row r="66" spans="1:12" x14ac:dyDescent="0.35">
      <c r="A66" s="2">
        <v>69</v>
      </c>
      <c r="B66" s="2">
        <v>4</v>
      </c>
      <c r="C66" s="2" t="s">
        <v>46</v>
      </c>
      <c r="D66" s="2" t="s">
        <v>119</v>
      </c>
      <c r="E66" s="2" t="s">
        <v>57</v>
      </c>
      <c r="F66" s="3">
        <v>40786</v>
      </c>
      <c r="G66" s="2" t="s">
        <v>13</v>
      </c>
      <c r="H66" s="4">
        <v>40786</v>
      </c>
      <c r="I66" s="5">
        <f t="shared" si="0"/>
        <v>2011</v>
      </c>
      <c r="J66" s="2" t="s">
        <v>37</v>
      </c>
      <c r="K66" s="2">
        <v>65</v>
      </c>
      <c r="L66" s="2">
        <v>2301</v>
      </c>
    </row>
    <row r="67" spans="1:12" x14ac:dyDescent="0.35">
      <c r="A67" s="2">
        <v>70</v>
      </c>
      <c r="B67" s="2">
        <v>55</v>
      </c>
      <c r="C67" s="2" t="s">
        <v>46</v>
      </c>
      <c r="D67" s="2" t="s">
        <v>119</v>
      </c>
      <c r="E67" s="2" t="s">
        <v>58</v>
      </c>
      <c r="F67" s="3">
        <v>40789</v>
      </c>
      <c r="G67" s="2" t="s">
        <v>13</v>
      </c>
      <c r="H67" s="4">
        <v>40789</v>
      </c>
      <c r="I67" s="5">
        <f t="shared" ref="I67:I130" si="1">YEAR(F67)</f>
        <v>2011</v>
      </c>
      <c r="J67" s="2" t="s">
        <v>14</v>
      </c>
      <c r="K67" s="2">
        <v>66</v>
      </c>
      <c r="L67" s="2">
        <v>2356</v>
      </c>
    </row>
    <row r="68" spans="1:12" x14ac:dyDescent="0.35">
      <c r="A68" s="2">
        <v>71</v>
      </c>
      <c r="B68" s="2">
        <v>9</v>
      </c>
      <c r="C68" s="2" t="s">
        <v>46</v>
      </c>
      <c r="D68" s="2" t="s">
        <v>119</v>
      </c>
      <c r="E68" s="2" t="s">
        <v>59</v>
      </c>
      <c r="F68" s="3">
        <v>40792</v>
      </c>
      <c r="G68" s="2" t="s">
        <v>13</v>
      </c>
      <c r="H68" s="4">
        <v>40792</v>
      </c>
      <c r="I68" s="5">
        <f t="shared" si="1"/>
        <v>2011</v>
      </c>
      <c r="J68" s="2" t="s">
        <v>14</v>
      </c>
      <c r="K68" s="2">
        <v>67</v>
      </c>
      <c r="L68" s="2">
        <v>2365</v>
      </c>
    </row>
    <row r="69" spans="1:12" x14ac:dyDescent="0.35">
      <c r="A69" s="2">
        <v>72</v>
      </c>
      <c r="B69" s="2">
        <v>7</v>
      </c>
      <c r="C69" s="2" t="s">
        <v>46</v>
      </c>
      <c r="D69" s="2" t="s">
        <v>119</v>
      </c>
      <c r="E69" s="2" t="s">
        <v>60</v>
      </c>
      <c r="F69" s="3">
        <v>40795</v>
      </c>
      <c r="G69" s="2" t="s">
        <v>13</v>
      </c>
      <c r="H69" s="4">
        <v>40795</v>
      </c>
      <c r="I69" s="5">
        <f t="shared" si="1"/>
        <v>2011</v>
      </c>
      <c r="J69" s="2" t="s">
        <v>14</v>
      </c>
      <c r="K69" s="2">
        <v>68</v>
      </c>
      <c r="L69" s="2">
        <v>2372</v>
      </c>
    </row>
    <row r="70" spans="1:12" x14ac:dyDescent="0.35">
      <c r="A70" s="2">
        <v>73</v>
      </c>
      <c r="B70" s="2">
        <v>16</v>
      </c>
      <c r="C70" s="2" t="s">
        <v>46</v>
      </c>
      <c r="D70" s="2" t="s">
        <v>119</v>
      </c>
      <c r="E70" s="2" t="s">
        <v>61</v>
      </c>
      <c r="F70" s="3">
        <v>40797</v>
      </c>
      <c r="G70" s="2" t="s">
        <v>13</v>
      </c>
      <c r="H70" s="4">
        <v>40797</v>
      </c>
      <c r="I70" s="5">
        <f t="shared" si="1"/>
        <v>2011</v>
      </c>
      <c r="J70" s="2" t="s">
        <v>14</v>
      </c>
      <c r="K70" s="2">
        <v>69</v>
      </c>
      <c r="L70" s="2">
        <v>2388</v>
      </c>
    </row>
    <row r="71" spans="1:12" x14ac:dyDescent="0.35">
      <c r="A71" s="2">
        <v>74</v>
      </c>
      <c r="B71" s="2">
        <v>107</v>
      </c>
      <c r="C71" s="2" t="s">
        <v>46</v>
      </c>
      <c r="D71" s="2" t="s">
        <v>119</v>
      </c>
      <c r="E71" s="2" t="s">
        <v>62</v>
      </c>
      <c r="F71" s="3">
        <v>40802</v>
      </c>
      <c r="G71" s="2" t="s">
        <v>13</v>
      </c>
      <c r="H71" s="4">
        <v>40802</v>
      </c>
      <c r="I71" s="5">
        <f t="shared" si="1"/>
        <v>2011</v>
      </c>
      <c r="J71" s="2" t="s">
        <v>14</v>
      </c>
      <c r="K71" s="2">
        <v>70</v>
      </c>
      <c r="L71" s="2">
        <v>2495</v>
      </c>
    </row>
    <row r="72" spans="1:12" x14ac:dyDescent="0.35">
      <c r="A72" s="2">
        <v>75</v>
      </c>
      <c r="B72" s="2">
        <v>37</v>
      </c>
      <c r="C72" s="2" t="s">
        <v>46</v>
      </c>
      <c r="D72" s="2" t="s">
        <v>119</v>
      </c>
      <c r="E72" s="2" t="s">
        <v>63</v>
      </c>
      <c r="F72" s="3">
        <v>40830</v>
      </c>
      <c r="G72" s="2" t="s">
        <v>22</v>
      </c>
      <c r="H72" s="4">
        <v>40830</v>
      </c>
      <c r="I72" s="5">
        <f t="shared" si="1"/>
        <v>2011</v>
      </c>
      <c r="J72" s="2" t="s">
        <v>14</v>
      </c>
      <c r="K72" s="2">
        <v>71</v>
      </c>
      <c r="L72" s="2">
        <v>2532</v>
      </c>
    </row>
    <row r="73" spans="1:12" x14ac:dyDescent="0.35">
      <c r="A73" s="2">
        <v>76</v>
      </c>
      <c r="B73" s="2">
        <v>112</v>
      </c>
      <c r="C73" s="2" t="s">
        <v>46</v>
      </c>
      <c r="D73" s="2" t="s">
        <v>119</v>
      </c>
      <c r="E73" s="2" t="s">
        <v>49</v>
      </c>
      <c r="F73" s="3">
        <v>40833</v>
      </c>
      <c r="G73" s="2" t="s">
        <v>22</v>
      </c>
      <c r="H73" s="4">
        <v>40833</v>
      </c>
      <c r="I73" s="5">
        <f t="shared" si="1"/>
        <v>2011</v>
      </c>
      <c r="J73" s="2" t="s">
        <v>14</v>
      </c>
      <c r="K73" s="2">
        <v>72</v>
      </c>
      <c r="L73" s="2">
        <v>2644</v>
      </c>
    </row>
    <row r="74" spans="1:12" x14ac:dyDescent="0.35">
      <c r="A74" s="2">
        <v>77</v>
      </c>
      <c r="B74" s="2">
        <v>35</v>
      </c>
      <c r="C74" s="2" t="s">
        <v>46</v>
      </c>
      <c r="D74" s="2" t="s">
        <v>119</v>
      </c>
      <c r="E74" s="2" t="s">
        <v>23</v>
      </c>
      <c r="F74" s="3">
        <v>40836</v>
      </c>
      <c r="G74" s="2" t="s">
        <v>22</v>
      </c>
      <c r="H74" s="4">
        <v>40836</v>
      </c>
      <c r="I74" s="5">
        <f t="shared" si="1"/>
        <v>2011</v>
      </c>
      <c r="J74" s="2" t="s">
        <v>14</v>
      </c>
      <c r="K74" s="2">
        <v>73</v>
      </c>
      <c r="L74" s="2">
        <v>2679</v>
      </c>
    </row>
    <row r="75" spans="1:12" x14ac:dyDescent="0.35">
      <c r="A75" s="2">
        <v>78</v>
      </c>
      <c r="B75" s="2">
        <v>86</v>
      </c>
      <c r="C75" s="2" t="s">
        <v>46</v>
      </c>
      <c r="D75" s="2" t="s">
        <v>119</v>
      </c>
      <c r="E75" s="2" t="s">
        <v>50</v>
      </c>
      <c r="F75" s="3">
        <v>40839</v>
      </c>
      <c r="G75" s="2" t="s">
        <v>22</v>
      </c>
      <c r="H75" s="4">
        <v>40839</v>
      </c>
      <c r="I75" s="5">
        <f t="shared" si="1"/>
        <v>2011</v>
      </c>
      <c r="J75" s="2" t="s">
        <v>14</v>
      </c>
      <c r="K75" s="2">
        <v>74</v>
      </c>
      <c r="L75" s="2">
        <v>2765</v>
      </c>
    </row>
    <row r="76" spans="1:12" x14ac:dyDescent="0.35">
      <c r="A76" s="2">
        <v>79</v>
      </c>
      <c r="B76" s="2">
        <v>0</v>
      </c>
      <c r="C76" s="2" t="s">
        <v>46</v>
      </c>
      <c r="D76" s="2" t="s">
        <v>119</v>
      </c>
      <c r="E76" s="2" t="s">
        <v>26</v>
      </c>
      <c r="F76" s="3">
        <v>40841</v>
      </c>
      <c r="G76" s="2" t="s">
        <v>22</v>
      </c>
      <c r="H76" s="4">
        <v>40841</v>
      </c>
      <c r="I76" s="5">
        <f t="shared" si="1"/>
        <v>2011</v>
      </c>
      <c r="J76" s="2" t="s">
        <v>14</v>
      </c>
      <c r="K76" s="2">
        <v>75</v>
      </c>
      <c r="L76" s="2">
        <v>2765</v>
      </c>
    </row>
    <row r="77" spans="1:12" x14ac:dyDescent="0.35">
      <c r="A77" s="2">
        <v>80</v>
      </c>
      <c r="B77" s="2">
        <v>15</v>
      </c>
      <c r="C77" s="2" t="s">
        <v>46</v>
      </c>
      <c r="D77" s="2" t="s">
        <v>119</v>
      </c>
      <c r="E77" s="2" t="s">
        <v>26</v>
      </c>
      <c r="F77" s="3">
        <v>40845</v>
      </c>
      <c r="G77" s="2" t="s">
        <v>22</v>
      </c>
      <c r="H77" s="4">
        <v>40845</v>
      </c>
      <c r="I77" s="5">
        <f t="shared" si="1"/>
        <v>2011</v>
      </c>
      <c r="J77" s="2" t="s">
        <v>37</v>
      </c>
      <c r="K77" s="2">
        <v>76</v>
      </c>
      <c r="L77" s="2">
        <v>2780</v>
      </c>
    </row>
    <row r="78" spans="1:12" x14ac:dyDescent="0.35">
      <c r="A78" s="2">
        <v>81</v>
      </c>
      <c r="B78" s="2">
        <v>52</v>
      </c>
      <c r="C78" s="2" t="s">
        <v>18</v>
      </c>
      <c r="D78" s="2" t="s">
        <v>113</v>
      </c>
      <c r="E78" s="2" t="s">
        <v>50</v>
      </c>
      <c r="F78" s="3">
        <v>40869</v>
      </c>
      <c r="G78" s="2" t="s">
        <v>22</v>
      </c>
      <c r="H78" s="4">
        <v>40869</v>
      </c>
      <c r="I78" s="5">
        <f t="shared" si="1"/>
        <v>2011</v>
      </c>
      <c r="J78" s="2" t="s">
        <v>54</v>
      </c>
      <c r="K78" s="2">
        <v>77</v>
      </c>
      <c r="L78" s="2">
        <v>2832</v>
      </c>
    </row>
    <row r="79" spans="1:12" x14ac:dyDescent="0.35">
      <c r="A79" s="2">
        <v>82</v>
      </c>
      <c r="B79" s="2">
        <v>63</v>
      </c>
      <c r="C79" s="2" t="s">
        <v>18</v>
      </c>
      <c r="D79" s="2" t="s">
        <v>113</v>
      </c>
      <c r="E79" s="2" t="s">
        <v>50</v>
      </c>
      <c r="F79" s="3">
        <v>40869</v>
      </c>
      <c r="G79" s="2" t="s">
        <v>22</v>
      </c>
      <c r="H79" s="4">
        <v>40869</v>
      </c>
      <c r="I79" s="5">
        <f t="shared" si="1"/>
        <v>2011</v>
      </c>
      <c r="J79" s="2" t="s">
        <v>54</v>
      </c>
      <c r="K79" s="2">
        <v>78</v>
      </c>
      <c r="L79" s="2">
        <v>2895</v>
      </c>
    </row>
    <row r="80" spans="1:12" x14ac:dyDescent="0.35">
      <c r="A80" s="2">
        <v>83</v>
      </c>
      <c r="B80" s="2">
        <v>3</v>
      </c>
      <c r="C80" s="2" t="s">
        <v>18</v>
      </c>
      <c r="D80" s="2" t="s">
        <v>113</v>
      </c>
      <c r="E80" s="2" t="s">
        <v>64</v>
      </c>
      <c r="F80" s="3">
        <v>40876</v>
      </c>
      <c r="G80" s="2" t="s">
        <v>22</v>
      </c>
      <c r="H80" s="4">
        <v>40876</v>
      </c>
      <c r="I80" s="5">
        <f t="shared" si="1"/>
        <v>2011</v>
      </c>
      <c r="J80" s="2" t="s">
        <v>14</v>
      </c>
      <c r="K80" s="2">
        <v>79</v>
      </c>
      <c r="L80" s="2">
        <v>2898</v>
      </c>
    </row>
    <row r="81" spans="1:12" x14ac:dyDescent="0.35">
      <c r="A81" s="2">
        <v>84</v>
      </c>
      <c r="B81" s="2">
        <v>117</v>
      </c>
      <c r="C81" s="2" t="s">
        <v>18</v>
      </c>
      <c r="D81" s="2" t="s">
        <v>113</v>
      </c>
      <c r="E81" s="2" t="s">
        <v>39</v>
      </c>
      <c r="F81" s="3">
        <v>40879</v>
      </c>
      <c r="G81" s="2" t="s">
        <v>22</v>
      </c>
      <c r="H81" s="4">
        <v>40879</v>
      </c>
      <c r="I81" s="5">
        <f t="shared" si="1"/>
        <v>2011</v>
      </c>
      <c r="J81" s="2" t="s">
        <v>14</v>
      </c>
      <c r="K81" s="2">
        <v>80</v>
      </c>
      <c r="L81" s="2">
        <v>3015</v>
      </c>
    </row>
    <row r="82" spans="1:12" x14ac:dyDescent="0.35">
      <c r="A82" s="2">
        <v>85</v>
      </c>
      <c r="B82" s="2">
        <v>20</v>
      </c>
      <c r="C82" s="2" t="s">
        <v>18</v>
      </c>
      <c r="D82" s="2" t="s">
        <v>113</v>
      </c>
      <c r="E82" s="2" t="s">
        <v>32</v>
      </c>
      <c r="F82" s="3">
        <v>40882</v>
      </c>
      <c r="G82" s="2" t="s">
        <v>22</v>
      </c>
      <c r="H82" s="4">
        <v>40882</v>
      </c>
      <c r="I82" s="5">
        <f t="shared" si="1"/>
        <v>2011</v>
      </c>
      <c r="J82" s="2" t="s">
        <v>14</v>
      </c>
      <c r="K82" s="2">
        <v>81</v>
      </c>
      <c r="L82" s="2">
        <v>3035</v>
      </c>
    </row>
    <row r="83" spans="1:12" x14ac:dyDescent="0.35">
      <c r="A83" s="2">
        <v>86</v>
      </c>
      <c r="B83" s="2">
        <v>23</v>
      </c>
      <c r="C83" s="2" t="s">
        <v>18</v>
      </c>
      <c r="D83" s="2" t="s">
        <v>113</v>
      </c>
      <c r="E83" s="2" t="s">
        <v>65</v>
      </c>
      <c r="F83" s="3">
        <v>40885</v>
      </c>
      <c r="G83" s="2" t="s">
        <v>22</v>
      </c>
      <c r="H83" s="4">
        <v>40885</v>
      </c>
      <c r="I83" s="5">
        <f t="shared" si="1"/>
        <v>2011</v>
      </c>
      <c r="J83" s="2" t="s">
        <v>14</v>
      </c>
      <c r="K83" s="2">
        <v>82</v>
      </c>
      <c r="L83" s="2">
        <v>3058</v>
      </c>
    </row>
    <row r="84" spans="1:12" x14ac:dyDescent="0.35">
      <c r="A84" s="2">
        <v>87</v>
      </c>
      <c r="B84" s="2">
        <v>80</v>
      </c>
      <c r="C84" s="2" t="s">
        <v>18</v>
      </c>
      <c r="D84" s="2" t="s">
        <v>113</v>
      </c>
      <c r="E84" s="2" t="s">
        <v>42</v>
      </c>
      <c r="F84" s="3">
        <v>40888</v>
      </c>
      <c r="G84" s="2" t="s">
        <v>22</v>
      </c>
      <c r="H84" s="4">
        <v>40888</v>
      </c>
      <c r="I84" s="5">
        <f t="shared" si="1"/>
        <v>2011</v>
      </c>
      <c r="J84" s="2" t="s">
        <v>14</v>
      </c>
      <c r="K84" s="2">
        <v>83</v>
      </c>
      <c r="L84" s="2">
        <v>3138</v>
      </c>
    </row>
    <row r="85" spans="1:12" x14ac:dyDescent="0.35">
      <c r="A85" s="2">
        <v>88</v>
      </c>
      <c r="B85" s="2">
        <v>11</v>
      </c>
      <c r="C85" s="2" t="s">
        <v>20</v>
      </c>
      <c r="D85" s="2" t="s">
        <v>114</v>
      </c>
      <c r="E85" s="2" t="s">
        <v>66</v>
      </c>
      <c r="F85" s="3">
        <v>40903</v>
      </c>
      <c r="G85" s="2" t="s">
        <v>22</v>
      </c>
      <c r="H85" s="4">
        <v>40903</v>
      </c>
      <c r="I85" s="5">
        <f t="shared" si="1"/>
        <v>2011</v>
      </c>
      <c r="J85" s="2" t="s">
        <v>54</v>
      </c>
      <c r="K85" s="2">
        <v>84</v>
      </c>
      <c r="L85" s="2">
        <v>3149</v>
      </c>
    </row>
    <row r="86" spans="1:12" x14ac:dyDescent="0.35">
      <c r="A86" s="2">
        <v>89</v>
      </c>
      <c r="B86" s="2">
        <v>0</v>
      </c>
      <c r="C86" s="2" t="s">
        <v>20</v>
      </c>
      <c r="D86" s="2" t="s">
        <v>114</v>
      </c>
      <c r="E86" s="2" t="s">
        <v>66</v>
      </c>
      <c r="F86" s="3">
        <v>40903</v>
      </c>
      <c r="G86" s="2" t="s">
        <v>22</v>
      </c>
      <c r="H86" s="4">
        <v>40903</v>
      </c>
      <c r="I86" s="5">
        <f t="shared" si="1"/>
        <v>2011</v>
      </c>
      <c r="J86" s="2" t="s">
        <v>54</v>
      </c>
      <c r="K86" s="2">
        <v>85</v>
      </c>
      <c r="L86" s="2">
        <v>3149</v>
      </c>
    </row>
    <row r="87" spans="1:12" x14ac:dyDescent="0.35">
      <c r="A87" s="2">
        <v>90</v>
      </c>
      <c r="B87" s="2">
        <v>23</v>
      </c>
      <c r="C87" s="2" t="s">
        <v>20</v>
      </c>
      <c r="D87" s="2" t="s">
        <v>114</v>
      </c>
      <c r="E87" s="2" t="s">
        <v>67</v>
      </c>
      <c r="F87" s="3">
        <v>40911</v>
      </c>
      <c r="G87" s="2" t="s">
        <v>28</v>
      </c>
      <c r="H87" s="4">
        <v>40911</v>
      </c>
      <c r="I87" s="5">
        <f t="shared" si="1"/>
        <v>2012</v>
      </c>
      <c r="J87" s="2" t="s">
        <v>54</v>
      </c>
      <c r="K87" s="2">
        <v>86</v>
      </c>
      <c r="L87" s="2">
        <v>3172</v>
      </c>
    </row>
    <row r="88" spans="1:12" x14ac:dyDescent="0.35">
      <c r="A88" s="2">
        <v>91</v>
      </c>
      <c r="B88" s="2">
        <v>9</v>
      </c>
      <c r="C88" s="2" t="s">
        <v>20</v>
      </c>
      <c r="D88" s="2" t="s">
        <v>114</v>
      </c>
      <c r="E88" s="2" t="s">
        <v>67</v>
      </c>
      <c r="F88" s="3">
        <v>40911</v>
      </c>
      <c r="G88" s="2" t="s">
        <v>28</v>
      </c>
      <c r="H88" s="4">
        <v>40911</v>
      </c>
      <c r="I88" s="5">
        <f t="shared" si="1"/>
        <v>2012</v>
      </c>
      <c r="J88" s="2" t="s">
        <v>54</v>
      </c>
      <c r="K88" s="2">
        <v>87</v>
      </c>
      <c r="L88" s="2">
        <v>3181</v>
      </c>
    </row>
    <row r="89" spans="1:12" x14ac:dyDescent="0.35">
      <c r="A89" s="2">
        <v>92</v>
      </c>
      <c r="B89" s="2">
        <v>44</v>
      </c>
      <c r="C89" s="2" t="s">
        <v>20</v>
      </c>
      <c r="D89" s="2" t="s">
        <v>114</v>
      </c>
      <c r="E89" s="2" t="s">
        <v>68</v>
      </c>
      <c r="F89" s="3">
        <v>40921</v>
      </c>
      <c r="G89" s="2" t="s">
        <v>28</v>
      </c>
      <c r="H89" s="4">
        <v>40921</v>
      </c>
      <c r="I89" s="5">
        <f t="shared" si="1"/>
        <v>2012</v>
      </c>
      <c r="J89" s="2" t="s">
        <v>54</v>
      </c>
      <c r="K89" s="2">
        <v>88</v>
      </c>
      <c r="L89" s="2">
        <v>3225</v>
      </c>
    </row>
    <row r="90" spans="1:12" x14ac:dyDescent="0.35">
      <c r="A90" s="2">
        <v>93</v>
      </c>
      <c r="B90" s="2">
        <v>75</v>
      </c>
      <c r="C90" s="2" t="s">
        <v>20</v>
      </c>
      <c r="D90" s="2" t="s">
        <v>114</v>
      </c>
      <c r="E90" s="2" t="s">
        <v>68</v>
      </c>
      <c r="F90" s="3">
        <v>40921</v>
      </c>
      <c r="G90" s="2" t="s">
        <v>28</v>
      </c>
      <c r="H90" s="4">
        <v>40921</v>
      </c>
      <c r="I90" s="5">
        <f t="shared" si="1"/>
        <v>2012</v>
      </c>
      <c r="J90" s="2" t="s">
        <v>54</v>
      </c>
      <c r="K90" s="2">
        <v>89</v>
      </c>
      <c r="L90" s="2">
        <v>3300</v>
      </c>
    </row>
    <row r="91" spans="1:12" x14ac:dyDescent="0.35">
      <c r="A91" s="2">
        <v>94</v>
      </c>
      <c r="B91" s="2">
        <v>116</v>
      </c>
      <c r="C91" s="2" t="s">
        <v>20</v>
      </c>
      <c r="D91" s="2" t="s">
        <v>114</v>
      </c>
      <c r="E91" s="2" t="s">
        <v>69</v>
      </c>
      <c r="F91" s="3">
        <v>40932</v>
      </c>
      <c r="G91" s="2" t="s">
        <v>28</v>
      </c>
      <c r="H91" s="4">
        <v>40932</v>
      </c>
      <c r="I91" s="5">
        <f t="shared" si="1"/>
        <v>2012</v>
      </c>
      <c r="J91" s="2" t="s">
        <v>54</v>
      </c>
      <c r="K91" s="2">
        <v>90</v>
      </c>
      <c r="L91" s="2">
        <v>3416</v>
      </c>
    </row>
    <row r="92" spans="1:12" x14ac:dyDescent="0.35">
      <c r="A92" s="2">
        <v>95</v>
      </c>
      <c r="B92" s="2">
        <v>22</v>
      </c>
      <c r="C92" s="2" t="s">
        <v>20</v>
      </c>
      <c r="D92" s="2" t="s">
        <v>114</v>
      </c>
      <c r="E92" s="2" t="s">
        <v>69</v>
      </c>
      <c r="F92" s="3">
        <v>40932</v>
      </c>
      <c r="G92" s="2" t="s">
        <v>28</v>
      </c>
      <c r="H92" s="4">
        <v>40932</v>
      </c>
      <c r="I92" s="5">
        <f t="shared" si="1"/>
        <v>2012</v>
      </c>
      <c r="J92" s="2" t="s">
        <v>54</v>
      </c>
      <c r="K92" s="2">
        <v>91</v>
      </c>
      <c r="L92" s="2">
        <v>3438</v>
      </c>
    </row>
    <row r="93" spans="1:12" x14ac:dyDescent="0.35">
      <c r="A93" s="2">
        <v>96</v>
      </c>
      <c r="B93" s="2">
        <v>22</v>
      </c>
      <c r="C93" s="2" t="s">
        <v>20</v>
      </c>
      <c r="D93" s="2" t="s">
        <v>114</v>
      </c>
      <c r="E93" s="2" t="s">
        <v>67</v>
      </c>
      <c r="F93" s="3">
        <v>40940</v>
      </c>
      <c r="G93" s="2" t="s">
        <v>28</v>
      </c>
      <c r="H93" s="4">
        <v>40940</v>
      </c>
      <c r="I93" s="5">
        <f t="shared" si="1"/>
        <v>2012</v>
      </c>
      <c r="J93" s="2" t="s">
        <v>37</v>
      </c>
      <c r="K93" s="2">
        <v>92</v>
      </c>
      <c r="L93" s="2">
        <v>3460</v>
      </c>
    </row>
    <row r="94" spans="1:12" x14ac:dyDescent="0.35">
      <c r="A94" s="2">
        <v>97</v>
      </c>
      <c r="B94" s="2">
        <v>31</v>
      </c>
      <c r="C94" s="2" t="s">
        <v>20</v>
      </c>
      <c r="D94" s="2" t="s">
        <v>114</v>
      </c>
      <c r="E94" s="2" t="s">
        <v>66</v>
      </c>
      <c r="F94" s="3">
        <v>40942</v>
      </c>
      <c r="G94" s="2" t="s">
        <v>28</v>
      </c>
      <c r="H94" s="4">
        <v>40942</v>
      </c>
      <c r="I94" s="5">
        <f t="shared" si="1"/>
        <v>2012</v>
      </c>
      <c r="J94" s="2" t="s">
        <v>37</v>
      </c>
      <c r="K94" s="2">
        <v>93</v>
      </c>
      <c r="L94" s="2">
        <v>3491</v>
      </c>
    </row>
    <row r="95" spans="1:12" x14ac:dyDescent="0.35">
      <c r="A95" s="2">
        <v>98</v>
      </c>
      <c r="B95" s="2">
        <v>31</v>
      </c>
      <c r="C95" s="2" t="s">
        <v>20</v>
      </c>
      <c r="D95" s="2" t="s">
        <v>114</v>
      </c>
      <c r="E95" s="2" t="s">
        <v>66</v>
      </c>
      <c r="F95" s="3">
        <v>40944</v>
      </c>
      <c r="G95" s="2" t="s">
        <v>28</v>
      </c>
      <c r="H95" s="4">
        <v>40944</v>
      </c>
      <c r="I95" s="5">
        <f t="shared" si="1"/>
        <v>2012</v>
      </c>
      <c r="J95" s="2" t="s">
        <v>14</v>
      </c>
      <c r="K95" s="2">
        <v>94</v>
      </c>
      <c r="L95" s="2">
        <v>3522</v>
      </c>
    </row>
    <row r="96" spans="1:12" x14ac:dyDescent="0.35">
      <c r="A96" s="2">
        <v>99</v>
      </c>
      <c r="B96" s="2">
        <v>77</v>
      </c>
      <c r="C96" s="2" t="s">
        <v>11</v>
      </c>
      <c r="D96" s="2" t="s">
        <v>111</v>
      </c>
      <c r="E96" s="2" t="s">
        <v>68</v>
      </c>
      <c r="F96" s="3">
        <v>40947</v>
      </c>
      <c r="G96" s="2" t="s">
        <v>28</v>
      </c>
      <c r="H96" s="4">
        <v>40947</v>
      </c>
      <c r="I96" s="5">
        <f t="shared" si="1"/>
        <v>2012</v>
      </c>
      <c r="J96" s="2" t="s">
        <v>14</v>
      </c>
      <c r="K96" s="2">
        <v>95</v>
      </c>
      <c r="L96" s="2">
        <v>3599</v>
      </c>
    </row>
    <row r="97" spans="1:12" x14ac:dyDescent="0.35">
      <c r="A97" s="2">
        <v>100</v>
      </c>
      <c r="B97" s="2">
        <v>18</v>
      </c>
      <c r="C97" s="2" t="s">
        <v>20</v>
      </c>
      <c r="D97" s="2" t="s">
        <v>114</v>
      </c>
      <c r="E97" s="2" t="s">
        <v>69</v>
      </c>
      <c r="F97" s="3">
        <v>40951</v>
      </c>
      <c r="G97" s="2" t="s">
        <v>28</v>
      </c>
      <c r="H97" s="4">
        <v>40951</v>
      </c>
      <c r="I97" s="5">
        <f t="shared" si="1"/>
        <v>2012</v>
      </c>
      <c r="J97" s="2" t="s">
        <v>14</v>
      </c>
      <c r="K97" s="2">
        <v>96</v>
      </c>
      <c r="L97" s="2">
        <v>3617</v>
      </c>
    </row>
    <row r="98" spans="1:12" x14ac:dyDescent="0.35">
      <c r="A98" s="2">
        <v>101</v>
      </c>
      <c r="B98" s="2">
        <v>15</v>
      </c>
      <c r="C98" s="2" t="s">
        <v>11</v>
      </c>
      <c r="D98" s="2" t="s">
        <v>111</v>
      </c>
      <c r="E98" s="2" t="s">
        <v>69</v>
      </c>
      <c r="F98" s="3">
        <v>40953</v>
      </c>
      <c r="G98" s="2" t="s">
        <v>28</v>
      </c>
      <c r="H98" s="4">
        <v>40953</v>
      </c>
      <c r="I98" s="5">
        <f t="shared" si="1"/>
        <v>2012</v>
      </c>
      <c r="J98" s="2" t="s">
        <v>14</v>
      </c>
      <c r="K98" s="2">
        <v>97</v>
      </c>
      <c r="L98" s="2">
        <v>3632</v>
      </c>
    </row>
    <row r="99" spans="1:12" x14ac:dyDescent="0.35">
      <c r="A99" s="2">
        <v>102</v>
      </c>
      <c r="B99" s="2">
        <v>12</v>
      </c>
      <c r="C99" s="2" t="s">
        <v>20</v>
      </c>
      <c r="D99" s="2" t="s">
        <v>114</v>
      </c>
      <c r="E99" s="2" t="s">
        <v>70</v>
      </c>
      <c r="F99" s="3">
        <v>40958</v>
      </c>
      <c r="G99" s="2" t="s">
        <v>28</v>
      </c>
      <c r="H99" s="4">
        <v>40958</v>
      </c>
      <c r="I99" s="5">
        <f t="shared" si="1"/>
        <v>2012</v>
      </c>
      <c r="J99" s="2" t="s">
        <v>14</v>
      </c>
      <c r="K99" s="2">
        <v>98</v>
      </c>
      <c r="L99" s="2">
        <v>3644</v>
      </c>
    </row>
    <row r="100" spans="1:12" x14ac:dyDescent="0.35">
      <c r="A100" s="2">
        <v>103</v>
      </c>
      <c r="B100" s="2">
        <v>66</v>
      </c>
      <c r="C100" s="2" t="s">
        <v>11</v>
      </c>
      <c r="D100" s="2" t="s">
        <v>111</v>
      </c>
      <c r="E100" s="2" t="s">
        <v>70</v>
      </c>
      <c r="F100" s="3">
        <v>40960</v>
      </c>
      <c r="G100" s="2" t="s">
        <v>28</v>
      </c>
      <c r="H100" s="4">
        <v>40960</v>
      </c>
      <c r="I100" s="5">
        <f t="shared" si="1"/>
        <v>2012</v>
      </c>
      <c r="J100" s="2" t="s">
        <v>14</v>
      </c>
      <c r="K100" s="2">
        <v>99</v>
      </c>
      <c r="L100" s="2">
        <v>3710</v>
      </c>
    </row>
    <row r="101" spans="1:12" x14ac:dyDescent="0.35">
      <c r="A101" s="2">
        <v>104</v>
      </c>
      <c r="B101" s="2">
        <v>21</v>
      </c>
      <c r="C101" s="2" t="s">
        <v>20</v>
      </c>
      <c r="D101" s="2" t="s">
        <v>114</v>
      </c>
      <c r="E101" s="2" t="s">
        <v>67</v>
      </c>
      <c r="F101" s="3">
        <v>40965</v>
      </c>
      <c r="G101" s="2" t="s">
        <v>28</v>
      </c>
      <c r="H101" s="4">
        <v>40965</v>
      </c>
      <c r="I101" s="5">
        <f t="shared" si="1"/>
        <v>2012</v>
      </c>
      <c r="J101" s="2" t="s">
        <v>14</v>
      </c>
      <c r="K101" s="2">
        <v>100</v>
      </c>
      <c r="L101" s="2">
        <v>3731</v>
      </c>
    </row>
    <row r="102" spans="1:12" x14ac:dyDescent="0.35">
      <c r="A102" s="2">
        <v>105</v>
      </c>
      <c r="B102" s="2">
        <v>133</v>
      </c>
      <c r="C102" s="2" t="s">
        <v>11</v>
      </c>
      <c r="D102" s="2" t="s">
        <v>111</v>
      </c>
      <c r="E102" s="2" t="s">
        <v>71</v>
      </c>
      <c r="F102" s="3">
        <v>40967</v>
      </c>
      <c r="G102" s="2" t="s">
        <v>28</v>
      </c>
      <c r="H102" s="4">
        <v>40967</v>
      </c>
      <c r="I102" s="5">
        <f t="shared" si="1"/>
        <v>2012</v>
      </c>
      <c r="J102" s="2" t="s">
        <v>14</v>
      </c>
      <c r="K102" s="2">
        <v>101</v>
      </c>
      <c r="L102" s="2">
        <v>3864</v>
      </c>
    </row>
    <row r="103" spans="1:12" x14ac:dyDescent="0.35">
      <c r="A103" s="2">
        <v>106</v>
      </c>
      <c r="B103" s="2">
        <v>108</v>
      </c>
      <c r="C103" s="2" t="s">
        <v>11</v>
      </c>
      <c r="D103" s="2" t="s">
        <v>111</v>
      </c>
      <c r="E103" s="2" t="s">
        <v>27</v>
      </c>
      <c r="F103" s="3">
        <v>40981</v>
      </c>
      <c r="G103" s="2" t="s">
        <v>28</v>
      </c>
      <c r="H103" s="4">
        <v>40981</v>
      </c>
      <c r="I103" s="5">
        <f t="shared" si="1"/>
        <v>2012</v>
      </c>
      <c r="J103" s="2" t="s">
        <v>14</v>
      </c>
      <c r="K103" s="2">
        <v>102</v>
      </c>
      <c r="L103" s="2">
        <v>3972</v>
      </c>
    </row>
    <row r="104" spans="1:12" x14ac:dyDescent="0.35">
      <c r="A104" s="2">
        <v>107</v>
      </c>
      <c r="B104" s="2">
        <v>66</v>
      </c>
      <c r="C104" s="2" t="s">
        <v>29</v>
      </c>
      <c r="D104" s="2" t="s">
        <v>115</v>
      </c>
      <c r="E104" s="2" t="s">
        <v>27</v>
      </c>
      <c r="F104" s="3">
        <v>40984</v>
      </c>
      <c r="G104" s="2" t="s">
        <v>28</v>
      </c>
      <c r="H104" s="4">
        <v>40984</v>
      </c>
      <c r="I104" s="5">
        <f t="shared" si="1"/>
        <v>2012</v>
      </c>
      <c r="J104" s="2" t="s">
        <v>14</v>
      </c>
      <c r="K104" s="2">
        <v>103</v>
      </c>
      <c r="L104" s="2">
        <v>4038</v>
      </c>
    </row>
    <row r="105" spans="1:12" x14ac:dyDescent="0.35">
      <c r="A105" s="2">
        <v>108</v>
      </c>
      <c r="B105" s="2">
        <v>183</v>
      </c>
      <c r="C105" s="2" t="s">
        <v>16</v>
      </c>
      <c r="D105" s="2" t="s">
        <v>112</v>
      </c>
      <c r="E105" s="2" t="s">
        <v>27</v>
      </c>
      <c r="F105" s="3">
        <v>40986</v>
      </c>
      <c r="G105" s="2" t="s">
        <v>28</v>
      </c>
      <c r="H105" s="4">
        <v>40986</v>
      </c>
      <c r="I105" s="5">
        <f t="shared" si="1"/>
        <v>2012</v>
      </c>
      <c r="J105" s="2" t="s">
        <v>14</v>
      </c>
      <c r="K105" s="2">
        <v>104</v>
      </c>
      <c r="L105" s="2">
        <v>4221</v>
      </c>
    </row>
    <row r="106" spans="1:12" x14ac:dyDescent="0.35">
      <c r="A106" s="2">
        <v>110</v>
      </c>
      <c r="B106" s="2">
        <v>106</v>
      </c>
      <c r="C106" s="2" t="s">
        <v>11</v>
      </c>
      <c r="D106" s="2" t="s">
        <v>111</v>
      </c>
      <c r="E106" s="2" t="s">
        <v>72</v>
      </c>
      <c r="F106" s="3">
        <v>41111</v>
      </c>
      <c r="G106" s="2" t="s">
        <v>13</v>
      </c>
      <c r="H106" s="4">
        <v>41111</v>
      </c>
      <c r="I106" s="5">
        <f t="shared" si="1"/>
        <v>2012</v>
      </c>
      <c r="J106" s="2" t="s">
        <v>14</v>
      </c>
      <c r="K106" s="2">
        <v>105</v>
      </c>
      <c r="L106" s="2">
        <v>4327</v>
      </c>
    </row>
    <row r="107" spans="1:12" x14ac:dyDescent="0.35">
      <c r="A107" s="2">
        <v>111</v>
      </c>
      <c r="B107" s="2">
        <v>1</v>
      </c>
      <c r="C107" s="2" t="s">
        <v>11</v>
      </c>
      <c r="D107" s="2" t="s">
        <v>111</v>
      </c>
      <c r="E107" s="2" t="s">
        <v>72</v>
      </c>
      <c r="F107" s="3">
        <v>41114</v>
      </c>
      <c r="G107" s="2" t="s">
        <v>13</v>
      </c>
      <c r="H107" s="4">
        <v>41114</v>
      </c>
      <c r="I107" s="5">
        <f t="shared" si="1"/>
        <v>2012</v>
      </c>
      <c r="J107" s="2" t="s">
        <v>14</v>
      </c>
      <c r="K107" s="2">
        <v>106</v>
      </c>
      <c r="L107" s="2">
        <v>4328</v>
      </c>
    </row>
    <row r="108" spans="1:12" x14ac:dyDescent="0.35">
      <c r="A108" s="2">
        <v>112</v>
      </c>
      <c r="B108" s="2">
        <v>38</v>
      </c>
      <c r="C108" s="2" t="s">
        <v>11</v>
      </c>
      <c r="D108" s="2" t="s">
        <v>111</v>
      </c>
      <c r="E108" s="2" t="s">
        <v>15</v>
      </c>
      <c r="F108" s="3">
        <v>41118</v>
      </c>
      <c r="G108" s="2" t="s">
        <v>13</v>
      </c>
      <c r="H108" s="4">
        <v>41118</v>
      </c>
      <c r="I108" s="5">
        <f t="shared" si="1"/>
        <v>2012</v>
      </c>
      <c r="J108" s="2" t="s">
        <v>14</v>
      </c>
      <c r="K108" s="2">
        <v>107</v>
      </c>
      <c r="L108" s="2">
        <v>4366</v>
      </c>
    </row>
    <row r="109" spans="1:12" x14ac:dyDescent="0.35">
      <c r="A109" s="2">
        <v>113</v>
      </c>
      <c r="B109" s="2">
        <v>128</v>
      </c>
      <c r="C109" s="2" t="s">
        <v>11</v>
      </c>
      <c r="D109" s="2" t="s">
        <v>111</v>
      </c>
      <c r="E109" s="2" t="s">
        <v>15</v>
      </c>
      <c r="F109" s="3">
        <v>41121</v>
      </c>
      <c r="G109" s="2" t="s">
        <v>13</v>
      </c>
      <c r="H109" s="4">
        <v>41121</v>
      </c>
      <c r="I109" s="5">
        <f t="shared" si="1"/>
        <v>2012</v>
      </c>
      <c r="J109" s="2" t="s">
        <v>14</v>
      </c>
      <c r="K109" s="2">
        <v>108</v>
      </c>
      <c r="L109" s="2">
        <v>4494</v>
      </c>
    </row>
    <row r="110" spans="1:12" x14ac:dyDescent="0.35">
      <c r="A110" s="2">
        <v>114</v>
      </c>
      <c r="B110" s="2">
        <v>23</v>
      </c>
      <c r="C110" s="2" t="s">
        <v>11</v>
      </c>
      <c r="D110" s="2" t="s">
        <v>111</v>
      </c>
      <c r="E110" s="2" t="s">
        <v>73</v>
      </c>
      <c r="F110" s="3">
        <v>41125</v>
      </c>
      <c r="G110" s="2" t="s">
        <v>13</v>
      </c>
      <c r="H110" s="4">
        <v>41125</v>
      </c>
      <c r="I110" s="5">
        <f t="shared" si="1"/>
        <v>2012</v>
      </c>
      <c r="J110" s="2" t="s">
        <v>14</v>
      </c>
      <c r="K110" s="2">
        <v>109</v>
      </c>
      <c r="L110" s="2">
        <v>4517</v>
      </c>
    </row>
    <row r="111" spans="1:12" x14ac:dyDescent="0.35">
      <c r="A111" s="2">
        <v>115</v>
      </c>
      <c r="B111" s="2">
        <v>68</v>
      </c>
      <c r="C111" s="2" t="s">
        <v>11</v>
      </c>
      <c r="D111" s="2" t="s">
        <v>111</v>
      </c>
      <c r="E111" s="2" t="s">
        <v>73</v>
      </c>
      <c r="F111" s="3">
        <v>41128</v>
      </c>
      <c r="G111" s="2" t="s">
        <v>13</v>
      </c>
      <c r="H111" s="4">
        <v>41128</v>
      </c>
      <c r="I111" s="5">
        <f t="shared" si="1"/>
        <v>2012</v>
      </c>
      <c r="J111" s="2" t="s">
        <v>37</v>
      </c>
      <c r="K111" s="2">
        <v>110</v>
      </c>
      <c r="L111" s="2">
        <v>4585</v>
      </c>
    </row>
    <row r="112" spans="1:12" x14ac:dyDescent="0.35">
      <c r="A112" s="2">
        <v>116</v>
      </c>
      <c r="B112" s="2">
        <v>58</v>
      </c>
      <c r="C112" s="2" t="s">
        <v>38</v>
      </c>
      <c r="D112" s="2" t="s">
        <v>118</v>
      </c>
      <c r="E112" s="2" t="s">
        <v>63</v>
      </c>
      <c r="F112" s="3">
        <v>41144</v>
      </c>
      <c r="G112" s="2" t="s">
        <v>13</v>
      </c>
      <c r="H112" s="4">
        <v>41144</v>
      </c>
      <c r="I112" s="5">
        <f t="shared" si="1"/>
        <v>2012</v>
      </c>
      <c r="J112" s="2" t="s">
        <v>54</v>
      </c>
      <c r="K112" s="2">
        <v>111</v>
      </c>
      <c r="L112" s="2">
        <v>4643</v>
      </c>
    </row>
    <row r="113" spans="1:12" x14ac:dyDescent="0.35">
      <c r="A113" s="2">
        <v>117</v>
      </c>
      <c r="B113" s="2">
        <v>103</v>
      </c>
      <c r="C113" s="2" t="s">
        <v>38</v>
      </c>
      <c r="D113" s="2" t="s">
        <v>118</v>
      </c>
      <c r="E113" s="2" t="s">
        <v>41</v>
      </c>
      <c r="F113" s="3">
        <v>41152</v>
      </c>
      <c r="G113" s="2" t="s">
        <v>13</v>
      </c>
      <c r="H113" s="4">
        <v>41152</v>
      </c>
      <c r="I113" s="5">
        <f t="shared" si="1"/>
        <v>2012</v>
      </c>
      <c r="J113" s="2" t="s">
        <v>54</v>
      </c>
      <c r="K113" s="2">
        <v>112</v>
      </c>
      <c r="L113" s="2">
        <v>4746</v>
      </c>
    </row>
    <row r="114" spans="1:12" x14ac:dyDescent="0.35">
      <c r="A114" s="2">
        <v>118</v>
      </c>
      <c r="B114" s="2">
        <v>51</v>
      </c>
      <c r="C114" s="2" t="s">
        <v>38</v>
      </c>
      <c r="D114" s="2" t="s">
        <v>118</v>
      </c>
      <c r="E114" s="2" t="s">
        <v>41</v>
      </c>
      <c r="F114" s="3">
        <v>41152</v>
      </c>
      <c r="G114" s="2" t="s">
        <v>13</v>
      </c>
      <c r="H114" s="4">
        <v>41152</v>
      </c>
      <c r="I114" s="5">
        <f t="shared" si="1"/>
        <v>2012</v>
      </c>
      <c r="J114" s="2" t="s">
        <v>54</v>
      </c>
      <c r="K114" s="2">
        <v>113</v>
      </c>
      <c r="L114" s="2">
        <v>4797</v>
      </c>
    </row>
    <row r="115" spans="1:12" x14ac:dyDescent="0.35">
      <c r="A115" s="2">
        <v>119</v>
      </c>
      <c r="B115" s="2">
        <v>70</v>
      </c>
      <c r="C115" s="2" t="s">
        <v>38</v>
      </c>
      <c r="D115" s="2" t="s">
        <v>118</v>
      </c>
      <c r="E115" s="2" t="s">
        <v>42</v>
      </c>
      <c r="F115" s="3">
        <v>41163</v>
      </c>
      <c r="G115" s="2" t="s">
        <v>13</v>
      </c>
      <c r="H115" s="4">
        <v>41163</v>
      </c>
      <c r="I115" s="5">
        <f t="shared" si="1"/>
        <v>2012</v>
      </c>
      <c r="J115" s="2" t="s">
        <v>37</v>
      </c>
      <c r="K115" s="2">
        <v>114</v>
      </c>
      <c r="L115" s="2">
        <v>4867</v>
      </c>
    </row>
    <row r="116" spans="1:12" x14ac:dyDescent="0.35">
      <c r="A116" s="2">
        <v>120</v>
      </c>
      <c r="B116" s="2">
        <v>50</v>
      </c>
      <c r="C116" s="2" t="s">
        <v>74</v>
      </c>
      <c r="D116" s="2" t="s">
        <v>122</v>
      </c>
      <c r="E116" s="2" t="s">
        <v>15</v>
      </c>
      <c r="F116" s="3">
        <v>41171</v>
      </c>
      <c r="G116" s="2" t="s">
        <v>13</v>
      </c>
      <c r="H116" s="4">
        <v>41171</v>
      </c>
      <c r="I116" s="5">
        <f t="shared" si="1"/>
        <v>2012</v>
      </c>
      <c r="J116" s="2" t="s">
        <v>37</v>
      </c>
      <c r="K116" s="2">
        <v>115</v>
      </c>
      <c r="L116" s="2">
        <v>4917</v>
      </c>
    </row>
    <row r="117" spans="1:12" x14ac:dyDescent="0.35">
      <c r="A117" s="2">
        <v>121</v>
      </c>
      <c r="B117" s="2">
        <v>40</v>
      </c>
      <c r="C117" s="2" t="s">
        <v>46</v>
      </c>
      <c r="D117" s="2" t="s">
        <v>119</v>
      </c>
      <c r="E117" s="2" t="s">
        <v>15</v>
      </c>
      <c r="F117" s="3">
        <v>41175</v>
      </c>
      <c r="G117" s="2" t="s">
        <v>13</v>
      </c>
      <c r="H117" s="4">
        <v>41175</v>
      </c>
      <c r="I117" s="5">
        <f t="shared" si="1"/>
        <v>2012</v>
      </c>
      <c r="J117" s="2" t="s">
        <v>37</v>
      </c>
      <c r="K117" s="2">
        <v>116</v>
      </c>
      <c r="L117" s="2">
        <v>4957</v>
      </c>
    </row>
    <row r="118" spans="1:12" x14ac:dyDescent="0.35">
      <c r="A118" s="2">
        <v>122</v>
      </c>
      <c r="B118" s="2">
        <v>15</v>
      </c>
      <c r="C118" s="2" t="s">
        <v>20</v>
      </c>
      <c r="D118" s="2" t="s">
        <v>114</v>
      </c>
      <c r="E118" s="2" t="s">
        <v>15</v>
      </c>
      <c r="F118" s="3">
        <v>41180</v>
      </c>
      <c r="G118" s="2" t="s">
        <v>13</v>
      </c>
      <c r="H118" s="4">
        <v>41180</v>
      </c>
      <c r="I118" s="5">
        <f t="shared" si="1"/>
        <v>2012</v>
      </c>
      <c r="J118" s="2" t="s">
        <v>37</v>
      </c>
      <c r="K118" s="2">
        <v>117</v>
      </c>
      <c r="L118" s="2">
        <v>4972</v>
      </c>
    </row>
    <row r="119" spans="1:12" x14ac:dyDescent="0.35">
      <c r="A119" s="2">
        <v>123</v>
      </c>
      <c r="B119" s="2">
        <v>78</v>
      </c>
      <c r="C119" s="2" t="s">
        <v>16</v>
      </c>
      <c r="D119" s="2" t="s">
        <v>112</v>
      </c>
      <c r="E119" s="2" t="s">
        <v>15</v>
      </c>
      <c r="F119" s="3">
        <v>41182</v>
      </c>
      <c r="G119" s="2" t="s">
        <v>13</v>
      </c>
      <c r="H119" s="4">
        <v>41182</v>
      </c>
      <c r="I119" s="5">
        <f t="shared" si="1"/>
        <v>2012</v>
      </c>
      <c r="J119" s="2" t="s">
        <v>37</v>
      </c>
      <c r="K119" s="2">
        <v>118</v>
      </c>
      <c r="L119" s="2">
        <v>5050</v>
      </c>
    </row>
    <row r="120" spans="1:12" x14ac:dyDescent="0.35">
      <c r="A120" s="2">
        <v>124</v>
      </c>
      <c r="B120" s="2">
        <v>2</v>
      </c>
      <c r="C120" s="2" t="s">
        <v>30</v>
      </c>
      <c r="D120" s="2" t="s">
        <v>116</v>
      </c>
      <c r="E120" s="2" t="s">
        <v>15</v>
      </c>
      <c r="F120" s="3">
        <v>41184</v>
      </c>
      <c r="G120" s="2" t="s">
        <v>22</v>
      </c>
      <c r="H120" s="4">
        <v>41184</v>
      </c>
      <c r="I120" s="5">
        <f t="shared" si="1"/>
        <v>2012</v>
      </c>
      <c r="J120" s="2" t="s">
        <v>37</v>
      </c>
      <c r="K120" s="2">
        <v>119</v>
      </c>
      <c r="L120" s="2">
        <v>5052</v>
      </c>
    </row>
    <row r="121" spans="1:12" x14ac:dyDescent="0.35">
      <c r="A121" s="2">
        <v>125</v>
      </c>
      <c r="B121" s="2">
        <v>19</v>
      </c>
      <c r="C121" s="2" t="s">
        <v>46</v>
      </c>
      <c r="D121" s="2" t="s">
        <v>119</v>
      </c>
      <c r="E121" s="2" t="s">
        <v>32</v>
      </c>
      <c r="F121" s="3">
        <v>41228</v>
      </c>
      <c r="G121" s="2" t="s">
        <v>22</v>
      </c>
      <c r="H121" s="4">
        <v>41228</v>
      </c>
      <c r="I121" s="5">
        <f t="shared" si="1"/>
        <v>2012</v>
      </c>
      <c r="J121" s="2" t="s">
        <v>54</v>
      </c>
      <c r="K121" s="2">
        <v>120</v>
      </c>
      <c r="L121" s="2">
        <v>5071</v>
      </c>
    </row>
    <row r="122" spans="1:12" x14ac:dyDescent="0.35">
      <c r="A122" s="2">
        <v>126</v>
      </c>
      <c r="B122" s="2">
        <v>14</v>
      </c>
      <c r="C122" s="2" t="s">
        <v>46</v>
      </c>
      <c r="D122" s="2" t="s">
        <v>119</v>
      </c>
      <c r="E122" s="2" t="s">
        <v>32</v>
      </c>
      <c r="F122" s="3">
        <v>41228</v>
      </c>
      <c r="G122" s="2" t="s">
        <v>22</v>
      </c>
      <c r="H122" s="4">
        <v>41228</v>
      </c>
      <c r="I122" s="5">
        <f t="shared" si="1"/>
        <v>2012</v>
      </c>
      <c r="J122" s="2" t="s">
        <v>54</v>
      </c>
      <c r="K122" s="2">
        <v>121</v>
      </c>
      <c r="L122" s="2">
        <v>5085</v>
      </c>
    </row>
    <row r="123" spans="1:12" x14ac:dyDescent="0.35">
      <c r="A123" s="2">
        <v>127</v>
      </c>
      <c r="B123" s="2">
        <v>19</v>
      </c>
      <c r="C123" s="2" t="s">
        <v>46</v>
      </c>
      <c r="D123" s="2" t="s">
        <v>119</v>
      </c>
      <c r="E123" s="2" t="s">
        <v>50</v>
      </c>
      <c r="F123" s="3">
        <v>41236</v>
      </c>
      <c r="G123" s="2" t="s">
        <v>22</v>
      </c>
      <c r="H123" s="4">
        <v>41236</v>
      </c>
      <c r="I123" s="5">
        <f t="shared" si="1"/>
        <v>2012</v>
      </c>
      <c r="J123" s="2" t="s">
        <v>54</v>
      </c>
      <c r="K123" s="2">
        <v>122</v>
      </c>
      <c r="L123" s="2">
        <v>5104</v>
      </c>
    </row>
    <row r="124" spans="1:12" x14ac:dyDescent="0.35">
      <c r="A124" s="2">
        <v>128</v>
      </c>
      <c r="B124" s="2">
        <v>7</v>
      </c>
      <c r="C124" s="2" t="s">
        <v>46</v>
      </c>
      <c r="D124" s="2" t="s">
        <v>119</v>
      </c>
      <c r="E124" s="2" t="s">
        <v>50</v>
      </c>
      <c r="F124" s="3">
        <v>41236</v>
      </c>
      <c r="G124" s="2" t="s">
        <v>22</v>
      </c>
      <c r="H124" s="4">
        <v>41236</v>
      </c>
      <c r="I124" s="5">
        <f t="shared" si="1"/>
        <v>2012</v>
      </c>
      <c r="J124" s="2" t="s">
        <v>54</v>
      </c>
      <c r="K124" s="2">
        <v>123</v>
      </c>
      <c r="L124" s="2">
        <v>5111</v>
      </c>
    </row>
    <row r="125" spans="1:12" x14ac:dyDescent="0.35">
      <c r="A125" s="2">
        <v>129</v>
      </c>
      <c r="B125" s="2">
        <v>6</v>
      </c>
      <c r="C125" s="2" t="s">
        <v>46</v>
      </c>
      <c r="D125" s="2" t="s">
        <v>119</v>
      </c>
      <c r="E125" s="2" t="s">
        <v>26</v>
      </c>
      <c r="F125" s="3">
        <v>41248</v>
      </c>
      <c r="G125" s="2" t="s">
        <v>22</v>
      </c>
      <c r="H125" s="4">
        <v>41248</v>
      </c>
      <c r="I125" s="5">
        <f t="shared" si="1"/>
        <v>2012</v>
      </c>
      <c r="J125" s="2" t="s">
        <v>54</v>
      </c>
      <c r="K125" s="2">
        <v>124</v>
      </c>
      <c r="L125" s="2">
        <v>5117</v>
      </c>
    </row>
    <row r="126" spans="1:12" x14ac:dyDescent="0.35">
      <c r="A126" s="2">
        <v>130</v>
      </c>
      <c r="B126" s="2">
        <v>20</v>
      </c>
      <c r="C126" s="2" t="s">
        <v>46</v>
      </c>
      <c r="D126" s="2" t="s">
        <v>119</v>
      </c>
      <c r="E126" s="2" t="s">
        <v>26</v>
      </c>
      <c r="F126" s="3">
        <v>41248</v>
      </c>
      <c r="G126" s="2" t="s">
        <v>22</v>
      </c>
      <c r="H126" s="4">
        <v>41248</v>
      </c>
      <c r="I126" s="5">
        <f t="shared" si="1"/>
        <v>2012</v>
      </c>
      <c r="J126" s="2" t="s">
        <v>54</v>
      </c>
      <c r="K126" s="2">
        <v>125</v>
      </c>
      <c r="L126" s="2">
        <v>5137</v>
      </c>
    </row>
    <row r="127" spans="1:12" x14ac:dyDescent="0.35">
      <c r="A127" s="2">
        <v>131</v>
      </c>
      <c r="B127" s="2">
        <v>103</v>
      </c>
      <c r="C127" s="2" t="s">
        <v>46</v>
      </c>
      <c r="D127" s="2" t="s">
        <v>119</v>
      </c>
      <c r="E127" s="2" t="s">
        <v>25</v>
      </c>
      <c r="F127" s="3">
        <v>41256</v>
      </c>
      <c r="G127" s="2" t="s">
        <v>22</v>
      </c>
      <c r="H127" s="4">
        <v>41256</v>
      </c>
      <c r="I127" s="5">
        <f t="shared" si="1"/>
        <v>2012</v>
      </c>
      <c r="J127" s="2" t="s">
        <v>54</v>
      </c>
      <c r="K127" s="2">
        <v>126</v>
      </c>
      <c r="L127" s="2">
        <v>5240</v>
      </c>
    </row>
    <row r="128" spans="1:12" x14ac:dyDescent="0.35">
      <c r="A128" s="2">
        <v>132</v>
      </c>
      <c r="B128" s="2">
        <v>21</v>
      </c>
      <c r="C128" s="2" t="s">
        <v>46</v>
      </c>
      <c r="D128" s="2" t="s">
        <v>119</v>
      </c>
      <c r="E128" s="2" t="s">
        <v>75</v>
      </c>
      <c r="F128" s="3">
        <v>41263</v>
      </c>
      <c r="G128" s="2" t="s">
        <v>22</v>
      </c>
      <c r="H128" s="4">
        <v>41263</v>
      </c>
      <c r="I128" s="5">
        <f t="shared" si="1"/>
        <v>2012</v>
      </c>
      <c r="J128" s="2" t="s">
        <v>37</v>
      </c>
      <c r="K128" s="2">
        <v>127</v>
      </c>
      <c r="L128" s="2">
        <v>5261</v>
      </c>
    </row>
    <row r="129" spans="1:12" x14ac:dyDescent="0.35">
      <c r="A129" s="2">
        <v>133</v>
      </c>
      <c r="B129" s="2">
        <v>38</v>
      </c>
      <c r="C129" s="2" t="s">
        <v>46</v>
      </c>
      <c r="D129" s="2" t="s">
        <v>119</v>
      </c>
      <c r="E129" s="2" t="s">
        <v>50</v>
      </c>
      <c r="F129" s="3">
        <v>41265</v>
      </c>
      <c r="G129" s="2" t="s">
        <v>22</v>
      </c>
      <c r="H129" s="4">
        <v>41265</v>
      </c>
      <c r="I129" s="5">
        <f t="shared" si="1"/>
        <v>2012</v>
      </c>
      <c r="J129" s="2" t="s">
        <v>37</v>
      </c>
      <c r="K129" s="2">
        <v>128</v>
      </c>
      <c r="L129" s="2">
        <v>5299</v>
      </c>
    </row>
    <row r="130" spans="1:12" x14ac:dyDescent="0.35">
      <c r="A130" s="2">
        <v>134</v>
      </c>
      <c r="B130" s="2">
        <v>9</v>
      </c>
      <c r="C130" s="2" t="s">
        <v>16</v>
      </c>
      <c r="D130" s="2" t="s">
        <v>112</v>
      </c>
      <c r="E130" s="2" t="s">
        <v>41</v>
      </c>
      <c r="F130" s="3">
        <v>41268</v>
      </c>
      <c r="G130" s="2" t="s">
        <v>22</v>
      </c>
      <c r="H130" s="4">
        <v>41268</v>
      </c>
      <c r="I130" s="5">
        <f t="shared" si="1"/>
        <v>2012</v>
      </c>
      <c r="J130" s="2" t="s">
        <v>37</v>
      </c>
      <c r="K130" s="2">
        <v>129</v>
      </c>
      <c r="L130" s="2">
        <v>5308</v>
      </c>
    </row>
    <row r="131" spans="1:12" x14ac:dyDescent="0.35">
      <c r="A131" s="2">
        <v>135</v>
      </c>
      <c r="B131" s="2">
        <v>27</v>
      </c>
      <c r="C131" s="2" t="s">
        <v>16</v>
      </c>
      <c r="D131" s="2" t="s">
        <v>112</v>
      </c>
      <c r="E131" s="2" t="s">
        <v>32</v>
      </c>
      <c r="F131" s="3">
        <v>41271</v>
      </c>
      <c r="G131" s="2" t="s">
        <v>22</v>
      </c>
      <c r="H131" s="4">
        <v>41271</v>
      </c>
      <c r="I131" s="5">
        <f t="shared" ref="I131:I194" si="2">YEAR(F131)</f>
        <v>2012</v>
      </c>
      <c r="J131" s="2" t="s">
        <v>37</v>
      </c>
      <c r="K131" s="2">
        <v>130</v>
      </c>
      <c r="L131" s="2">
        <v>5335</v>
      </c>
    </row>
    <row r="132" spans="1:12" x14ac:dyDescent="0.35">
      <c r="A132" s="2">
        <v>136</v>
      </c>
      <c r="B132" s="2">
        <v>0</v>
      </c>
      <c r="C132" s="2" t="s">
        <v>16</v>
      </c>
      <c r="D132" s="2" t="s">
        <v>112</v>
      </c>
      <c r="E132" s="2" t="s">
        <v>42</v>
      </c>
      <c r="F132" s="3">
        <v>41273</v>
      </c>
      <c r="G132" s="2" t="s">
        <v>22</v>
      </c>
      <c r="H132" s="4">
        <v>41273</v>
      </c>
      <c r="I132" s="5">
        <f t="shared" si="2"/>
        <v>2012</v>
      </c>
      <c r="J132" s="2" t="s">
        <v>14</v>
      </c>
      <c r="K132" s="2">
        <v>131</v>
      </c>
      <c r="L132" s="2">
        <v>5335</v>
      </c>
    </row>
    <row r="133" spans="1:12" x14ac:dyDescent="0.35">
      <c r="A133" s="2">
        <v>137</v>
      </c>
      <c r="B133" s="2">
        <v>6</v>
      </c>
      <c r="C133" s="2" t="s">
        <v>16</v>
      </c>
      <c r="D133" s="2" t="s">
        <v>112</v>
      </c>
      <c r="E133" s="2" t="s">
        <v>26</v>
      </c>
      <c r="F133" s="3">
        <v>41277</v>
      </c>
      <c r="G133" s="2" t="s">
        <v>28</v>
      </c>
      <c r="H133" s="4">
        <v>41277</v>
      </c>
      <c r="I133" s="5">
        <f t="shared" si="2"/>
        <v>2013</v>
      </c>
      <c r="J133" s="2" t="s">
        <v>14</v>
      </c>
      <c r="K133" s="2">
        <v>132</v>
      </c>
      <c r="L133" s="2">
        <v>5341</v>
      </c>
    </row>
    <row r="134" spans="1:12" x14ac:dyDescent="0.35">
      <c r="A134" s="2">
        <v>138</v>
      </c>
      <c r="B134" s="2">
        <v>7</v>
      </c>
      <c r="C134" s="2" t="s">
        <v>16</v>
      </c>
      <c r="D134" s="2" t="s">
        <v>112</v>
      </c>
      <c r="E134" s="2" t="s">
        <v>49</v>
      </c>
      <c r="F134" s="3">
        <v>41280</v>
      </c>
      <c r="G134" s="2" t="s">
        <v>28</v>
      </c>
      <c r="H134" s="4">
        <v>41280</v>
      </c>
      <c r="I134" s="5">
        <f t="shared" si="2"/>
        <v>2013</v>
      </c>
      <c r="J134" s="2" t="s">
        <v>14</v>
      </c>
      <c r="K134" s="2">
        <v>133</v>
      </c>
      <c r="L134" s="2">
        <v>5348</v>
      </c>
    </row>
    <row r="135" spans="1:12" x14ac:dyDescent="0.35">
      <c r="A135" s="2">
        <v>139</v>
      </c>
      <c r="B135" s="2">
        <v>15</v>
      </c>
      <c r="C135" s="2" t="s">
        <v>46</v>
      </c>
      <c r="D135" s="2" t="s">
        <v>119</v>
      </c>
      <c r="E135" s="2" t="s">
        <v>24</v>
      </c>
      <c r="F135" s="3">
        <v>41285</v>
      </c>
      <c r="G135" s="2" t="s">
        <v>28</v>
      </c>
      <c r="H135" s="4">
        <v>41285</v>
      </c>
      <c r="I135" s="5">
        <f t="shared" si="2"/>
        <v>2013</v>
      </c>
      <c r="J135" s="2" t="s">
        <v>14</v>
      </c>
      <c r="K135" s="2">
        <v>134</v>
      </c>
      <c r="L135" s="2">
        <v>5363</v>
      </c>
    </row>
    <row r="136" spans="1:12" x14ac:dyDescent="0.35">
      <c r="A136" s="2">
        <v>140</v>
      </c>
      <c r="B136" s="2">
        <v>37</v>
      </c>
      <c r="C136" s="2" t="s">
        <v>46</v>
      </c>
      <c r="D136" s="2" t="s">
        <v>119</v>
      </c>
      <c r="E136" s="2" t="s">
        <v>76</v>
      </c>
      <c r="F136" s="3">
        <v>41289</v>
      </c>
      <c r="G136" s="2" t="s">
        <v>28</v>
      </c>
      <c r="H136" s="4">
        <v>41289</v>
      </c>
      <c r="I136" s="5">
        <f t="shared" si="2"/>
        <v>2013</v>
      </c>
      <c r="J136" s="2" t="s">
        <v>14</v>
      </c>
      <c r="K136" s="2">
        <v>135</v>
      </c>
      <c r="L136" s="2">
        <v>5400</v>
      </c>
    </row>
    <row r="137" spans="1:12" x14ac:dyDescent="0.35">
      <c r="A137" s="2">
        <v>141</v>
      </c>
      <c r="B137" s="2">
        <v>77</v>
      </c>
      <c r="C137" s="2" t="s">
        <v>46</v>
      </c>
      <c r="D137" s="2" t="s">
        <v>119</v>
      </c>
      <c r="E137" s="2" t="s">
        <v>77</v>
      </c>
      <c r="F137" s="3">
        <v>41293</v>
      </c>
      <c r="G137" s="2" t="s">
        <v>28</v>
      </c>
      <c r="H137" s="4">
        <v>41293</v>
      </c>
      <c r="I137" s="5">
        <f t="shared" si="2"/>
        <v>2013</v>
      </c>
      <c r="J137" s="2" t="s">
        <v>14</v>
      </c>
      <c r="K137" s="2">
        <v>136</v>
      </c>
      <c r="L137" s="2">
        <v>5477</v>
      </c>
    </row>
    <row r="138" spans="1:12" x14ac:dyDescent="0.35">
      <c r="A138" s="2">
        <v>142</v>
      </c>
      <c r="B138" s="2">
        <v>26</v>
      </c>
      <c r="C138" s="2" t="s">
        <v>46</v>
      </c>
      <c r="D138" s="2" t="s">
        <v>119</v>
      </c>
      <c r="E138" s="2" t="s">
        <v>23</v>
      </c>
      <c r="F138" s="3">
        <v>41297</v>
      </c>
      <c r="G138" s="2" t="s">
        <v>28</v>
      </c>
      <c r="H138" s="4">
        <v>41297</v>
      </c>
      <c r="I138" s="5">
        <f t="shared" si="2"/>
        <v>2013</v>
      </c>
      <c r="J138" s="2" t="s">
        <v>14</v>
      </c>
      <c r="K138" s="2">
        <v>137</v>
      </c>
      <c r="L138" s="2">
        <v>5503</v>
      </c>
    </row>
    <row r="139" spans="1:12" x14ac:dyDescent="0.35">
      <c r="A139" s="2">
        <v>143</v>
      </c>
      <c r="B139" s="2">
        <v>0</v>
      </c>
      <c r="C139" s="2" t="s">
        <v>46</v>
      </c>
      <c r="D139" s="2" t="s">
        <v>119</v>
      </c>
      <c r="E139" s="2" t="s">
        <v>78</v>
      </c>
      <c r="F139" s="3">
        <v>41301</v>
      </c>
      <c r="G139" s="2" t="s">
        <v>28</v>
      </c>
      <c r="H139" s="4">
        <v>41301</v>
      </c>
      <c r="I139" s="5">
        <f t="shared" si="2"/>
        <v>2013</v>
      </c>
      <c r="J139" s="2" t="s">
        <v>14</v>
      </c>
      <c r="K139" s="2">
        <v>138</v>
      </c>
      <c r="L139" s="2">
        <v>5503</v>
      </c>
    </row>
    <row r="140" spans="1:12" x14ac:dyDescent="0.35">
      <c r="A140" s="2">
        <v>144</v>
      </c>
      <c r="B140" s="2">
        <v>107</v>
      </c>
      <c r="C140" s="2" t="s">
        <v>20</v>
      </c>
      <c r="D140" s="2" t="s">
        <v>114</v>
      </c>
      <c r="E140" s="2" t="s">
        <v>42</v>
      </c>
      <c r="F140" s="3">
        <v>41327</v>
      </c>
      <c r="G140" s="2" t="s">
        <v>28</v>
      </c>
      <c r="H140" s="4">
        <v>41327</v>
      </c>
      <c r="I140" s="5">
        <f t="shared" si="2"/>
        <v>2013</v>
      </c>
      <c r="J140" s="2" t="s">
        <v>54</v>
      </c>
      <c r="K140" s="2">
        <v>139</v>
      </c>
      <c r="L140" s="2">
        <v>5610</v>
      </c>
    </row>
    <row r="141" spans="1:12" x14ac:dyDescent="0.35">
      <c r="A141" s="2">
        <v>146</v>
      </c>
      <c r="B141" s="2">
        <v>34</v>
      </c>
      <c r="C141" s="2" t="s">
        <v>20</v>
      </c>
      <c r="D141" s="2" t="s">
        <v>114</v>
      </c>
      <c r="E141" s="2" t="s">
        <v>63</v>
      </c>
      <c r="F141" s="3">
        <v>41335</v>
      </c>
      <c r="G141" s="2" t="s">
        <v>28</v>
      </c>
      <c r="H141" s="4">
        <v>41335</v>
      </c>
      <c r="I141" s="5">
        <f t="shared" si="2"/>
        <v>2013</v>
      </c>
      <c r="J141" s="2" t="s">
        <v>54</v>
      </c>
      <c r="K141" s="2">
        <v>140</v>
      </c>
      <c r="L141" s="2">
        <v>5644</v>
      </c>
    </row>
    <row r="142" spans="1:12" x14ac:dyDescent="0.35">
      <c r="A142" s="2">
        <v>147</v>
      </c>
      <c r="B142" s="2">
        <v>67</v>
      </c>
      <c r="C142" s="2" t="s">
        <v>20</v>
      </c>
      <c r="D142" s="2" t="s">
        <v>114</v>
      </c>
      <c r="E142" s="2" t="s">
        <v>23</v>
      </c>
      <c r="F142" s="3">
        <v>41347</v>
      </c>
      <c r="G142" s="2" t="s">
        <v>28</v>
      </c>
      <c r="H142" s="4">
        <v>41347</v>
      </c>
      <c r="I142" s="5">
        <f t="shared" si="2"/>
        <v>2013</v>
      </c>
      <c r="J142" s="2" t="s">
        <v>54</v>
      </c>
      <c r="K142" s="2">
        <v>141</v>
      </c>
      <c r="L142" s="2">
        <v>5711</v>
      </c>
    </row>
    <row r="143" spans="1:12" x14ac:dyDescent="0.35">
      <c r="A143" s="2">
        <v>148</v>
      </c>
      <c r="B143" s="2">
        <v>34</v>
      </c>
      <c r="C143" s="2" t="s">
        <v>20</v>
      </c>
      <c r="D143" s="2" t="s">
        <v>114</v>
      </c>
      <c r="E143" s="2" t="s">
        <v>23</v>
      </c>
      <c r="F143" s="3">
        <v>41347</v>
      </c>
      <c r="G143" s="2" t="s">
        <v>28</v>
      </c>
      <c r="H143" s="4">
        <v>41347</v>
      </c>
      <c r="I143" s="5">
        <f t="shared" si="2"/>
        <v>2013</v>
      </c>
      <c r="J143" s="2" t="s">
        <v>54</v>
      </c>
      <c r="K143" s="2">
        <v>142</v>
      </c>
      <c r="L143" s="2">
        <v>5745</v>
      </c>
    </row>
    <row r="144" spans="1:12" x14ac:dyDescent="0.35">
      <c r="A144" s="2">
        <v>149</v>
      </c>
      <c r="B144" s="2">
        <v>1</v>
      </c>
      <c r="C144" s="2" t="s">
        <v>20</v>
      </c>
      <c r="D144" s="2" t="s">
        <v>114</v>
      </c>
      <c r="E144" s="2" t="s">
        <v>49</v>
      </c>
      <c r="F144" s="3">
        <v>41355</v>
      </c>
      <c r="G144" s="2" t="s">
        <v>28</v>
      </c>
      <c r="H144" s="4">
        <v>41355</v>
      </c>
      <c r="I144" s="5">
        <f t="shared" si="2"/>
        <v>2013</v>
      </c>
      <c r="J144" s="2" t="s">
        <v>54</v>
      </c>
      <c r="K144" s="2">
        <v>143</v>
      </c>
      <c r="L144" s="2">
        <v>5746</v>
      </c>
    </row>
    <row r="145" spans="1:12" x14ac:dyDescent="0.35">
      <c r="A145" s="2">
        <v>150</v>
      </c>
      <c r="B145" s="2">
        <v>41</v>
      </c>
      <c r="C145" s="2" t="s">
        <v>20</v>
      </c>
      <c r="D145" s="2" t="s">
        <v>114</v>
      </c>
      <c r="E145" s="2" t="s">
        <v>49</v>
      </c>
      <c r="F145" s="3">
        <v>41355</v>
      </c>
      <c r="G145" s="2" t="s">
        <v>28</v>
      </c>
      <c r="H145" s="4">
        <v>41355</v>
      </c>
      <c r="I145" s="5">
        <f t="shared" si="2"/>
        <v>2013</v>
      </c>
      <c r="J145" s="2" t="s">
        <v>54</v>
      </c>
      <c r="K145" s="2">
        <v>144</v>
      </c>
      <c r="L145" s="2">
        <v>5787</v>
      </c>
    </row>
    <row r="146" spans="1:12" x14ac:dyDescent="0.35">
      <c r="A146" s="2">
        <v>151</v>
      </c>
      <c r="B146" s="2">
        <v>31</v>
      </c>
      <c r="C146" s="2" t="s">
        <v>30</v>
      </c>
      <c r="D146" s="2" t="s">
        <v>116</v>
      </c>
      <c r="E146" s="2" t="s">
        <v>62</v>
      </c>
      <c r="F146" s="3">
        <v>41431</v>
      </c>
      <c r="G146" s="2" t="s">
        <v>35</v>
      </c>
      <c r="H146" s="4">
        <v>41431</v>
      </c>
      <c r="I146" s="5">
        <f t="shared" si="2"/>
        <v>2013</v>
      </c>
      <c r="J146" s="2" t="s">
        <v>14</v>
      </c>
      <c r="K146" s="2">
        <v>145</v>
      </c>
      <c r="L146" s="2">
        <v>5818</v>
      </c>
    </row>
    <row r="147" spans="1:12" x14ac:dyDescent="0.35">
      <c r="A147" s="2">
        <v>152</v>
      </c>
      <c r="B147" s="2">
        <v>22</v>
      </c>
      <c r="C147" s="2" t="s">
        <v>18</v>
      </c>
      <c r="D147" s="2" t="s">
        <v>113</v>
      </c>
      <c r="E147" s="2" t="s">
        <v>60</v>
      </c>
      <c r="F147" s="3">
        <v>41436</v>
      </c>
      <c r="G147" s="2" t="s">
        <v>35</v>
      </c>
      <c r="H147" s="4">
        <v>41436</v>
      </c>
      <c r="I147" s="5">
        <f t="shared" si="2"/>
        <v>2013</v>
      </c>
      <c r="J147" s="2" t="s">
        <v>14</v>
      </c>
      <c r="K147" s="2">
        <v>146</v>
      </c>
      <c r="L147" s="2">
        <v>5840</v>
      </c>
    </row>
    <row r="148" spans="1:12" x14ac:dyDescent="0.35">
      <c r="A148" s="2">
        <v>153</v>
      </c>
      <c r="B148" s="2">
        <v>22</v>
      </c>
      <c r="C148" s="2" t="s">
        <v>16</v>
      </c>
      <c r="D148" s="2" t="s">
        <v>112</v>
      </c>
      <c r="E148" s="2" t="s">
        <v>79</v>
      </c>
      <c r="F148" s="3">
        <v>41440</v>
      </c>
      <c r="G148" s="2" t="s">
        <v>35</v>
      </c>
      <c r="H148" s="4">
        <v>41440</v>
      </c>
      <c r="I148" s="5">
        <f t="shared" si="2"/>
        <v>2013</v>
      </c>
      <c r="J148" s="2" t="s">
        <v>14</v>
      </c>
      <c r="K148" s="2">
        <v>147</v>
      </c>
      <c r="L148" s="2">
        <v>5862</v>
      </c>
    </row>
    <row r="149" spans="1:12" x14ac:dyDescent="0.35">
      <c r="A149" s="2">
        <v>154</v>
      </c>
      <c r="B149" s="2">
        <v>58</v>
      </c>
      <c r="C149" s="2" t="s">
        <v>11</v>
      </c>
      <c r="D149" s="2" t="s">
        <v>111</v>
      </c>
      <c r="E149" s="2" t="s">
        <v>62</v>
      </c>
      <c r="F149" s="3">
        <v>41445</v>
      </c>
      <c r="G149" s="2" t="s">
        <v>35</v>
      </c>
      <c r="H149" s="4">
        <v>41445</v>
      </c>
      <c r="I149" s="5">
        <f t="shared" si="2"/>
        <v>2013</v>
      </c>
      <c r="J149" s="2" t="s">
        <v>14</v>
      </c>
      <c r="K149" s="2">
        <v>148</v>
      </c>
      <c r="L149" s="2">
        <v>5920</v>
      </c>
    </row>
    <row r="150" spans="1:12" x14ac:dyDescent="0.35">
      <c r="A150" s="2">
        <v>155</v>
      </c>
      <c r="B150" s="2">
        <v>43</v>
      </c>
      <c r="C150" s="2" t="s">
        <v>46</v>
      </c>
      <c r="D150" s="2" t="s">
        <v>119</v>
      </c>
      <c r="E150" s="2" t="s">
        <v>79</v>
      </c>
      <c r="F150" s="3">
        <v>41448</v>
      </c>
      <c r="G150" s="2" t="s">
        <v>35</v>
      </c>
      <c r="H150" s="4">
        <v>41448</v>
      </c>
      <c r="I150" s="5">
        <f t="shared" si="2"/>
        <v>2013</v>
      </c>
      <c r="J150" s="2" t="s">
        <v>14</v>
      </c>
      <c r="K150" s="2">
        <v>149</v>
      </c>
      <c r="L150" s="2">
        <v>5963</v>
      </c>
    </row>
    <row r="151" spans="1:12" x14ac:dyDescent="0.35">
      <c r="A151" s="2">
        <v>156</v>
      </c>
      <c r="B151" s="2">
        <v>11</v>
      </c>
      <c r="C151" s="2" t="s">
        <v>18</v>
      </c>
      <c r="D151" s="2" t="s">
        <v>113</v>
      </c>
      <c r="E151" s="2" t="s">
        <v>53</v>
      </c>
      <c r="F151" s="3">
        <v>41455</v>
      </c>
      <c r="G151" s="2" t="s">
        <v>35</v>
      </c>
      <c r="H151" s="4">
        <v>41455</v>
      </c>
      <c r="I151" s="5">
        <f t="shared" si="2"/>
        <v>2013</v>
      </c>
      <c r="J151" s="2" t="s">
        <v>14</v>
      </c>
      <c r="K151" s="2">
        <v>150</v>
      </c>
      <c r="L151" s="2">
        <v>5974</v>
      </c>
    </row>
    <row r="152" spans="1:12" x14ac:dyDescent="0.35">
      <c r="A152" s="2">
        <v>157</v>
      </c>
      <c r="B152" s="2">
        <v>2</v>
      </c>
      <c r="C152" s="2" t="s">
        <v>11</v>
      </c>
      <c r="D152" s="2" t="s">
        <v>111</v>
      </c>
      <c r="E152" s="2" t="s">
        <v>53</v>
      </c>
      <c r="F152" s="3">
        <v>41457</v>
      </c>
      <c r="G152" s="2" t="s">
        <v>13</v>
      </c>
      <c r="H152" s="4">
        <v>41457</v>
      </c>
      <c r="I152" s="5">
        <f t="shared" si="2"/>
        <v>2013</v>
      </c>
      <c r="J152" s="2" t="s">
        <v>14</v>
      </c>
      <c r="K152" s="2">
        <v>151</v>
      </c>
      <c r="L152" s="2">
        <v>5976</v>
      </c>
    </row>
    <row r="153" spans="1:12" x14ac:dyDescent="0.35">
      <c r="A153" s="2">
        <v>158</v>
      </c>
      <c r="B153" s="2">
        <v>102</v>
      </c>
      <c r="C153" s="2" t="s">
        <v>18</v>
      </c>
      <c r="D153" s="2" t="s">
        <v>113</v>
      </c>
      <c r="E153" s="2" t="s">
        <v>51</v>
      </c>
      <c r="F153" s="3">
        <v>41460</v>
      </c>
      <c r="G153" s="2" t="s">
        <v>13</v>
      </c>
      <c r="H153" s="4">
        <v>41460</v>
      </c>
      <c r="I153" s="5">
        <f t="shared" si="2"/>
        <v>2013</v>
      </c>
      <c r="J153" s="2" t="s">
        <v>14</v>
      </c>
      <c r="K153" s="2">
        <v>152</v>
      </c>
      <c r="L153" s="2">
        <v>6078</v>
      </c>
    </row>
    <row r="154" spans="1:12" x14ac:dyDescent="0.35">
      <c r="A154" s="2">
        <v>159</v>
      </c>
      <c r="B154" s="2">
        <v>31</v>
      </c>
      <c r="C154" s="2" t="s">
        <v>11</v>
      </c>
      <c r="D154" s="2" t="s">
        <v>111</v>
      </c>
      <c r="E154" s="2" t="s">
        <v>51</v>
      </c>
      <c r="F154" s="3">
        <v>41464</v>
      </c>
      <c r="G154" s="2" t="s">
        <v>13</v>
      </c>
      <c r="H154" s="4">
        <v>41464</v>
      </c>
      <c r="I154" s="5">
        <f t="shared" si="2"/>
        <v>2013</v>
      </c>
      <c r="J154" s="2" t="s">
        <v>14</v>
      </c>
      <c r="K154" s="2">
        <v>153</v>
      </c>
      <c r="L154" s="2">
        <v>6109</v>
      </c>
    </row>
    <row r="155" spans="1:12" x14ac:dyDescent="0.35">
      <c r="A155" s="2">
        <v>160</v>
      </c>
      <c r="B155" s="2">
        <v>2</v>
      </c>
      <c r="C155" s="2" t="s">
        <v>11</v>
      </c>
      <c r="D155" s="2" t="s">
        <v>111</v>
      </c>
      <c r="E155" s="2" t="s">
        <v>51</v>
      </c>
      <c r="F155" s="3">
        <v>41466</v>
      </c>
      <c r="G155" s="2" t="s">
        <v>13</v>
      </c>
      <c r="H155" s="4">
        <v>41466</v>
      </c>
      <c r="I155" s="5">
        <f t="shared" si="2"/>
        <v>2013</v>
      </c>
      <c r="J155" s="2" t="s">
        <v>14</v>
      </c>
      <c r="K155" s="2">
        <v>154</v>
      </c>
      <c r="L155" s="2">
        <v>6111</v>
      </c>
    </row>
    <row r="156" spans="1:12" x14ac:dyDescent="0.35">
      <c r="A156" s="2">
        <v>161</v>
      </c>
      <c r="B156" s="2">
        <v>115</v>
      </c>
      <c r="C156" s="2" t="s">
        <v>33</v>
      </c>
      <c r="D156" s="2" t="s">
        <v>117</v>
      </c>
      <c r="E156" s="2" t="s">
        <v>36</v>
      </c>
      <c r="F156" s="3">
        <v>41479</v>
      </c>
      <c r="G156" s="2" t="s">
        <v>13</v>
      </c>
      <c r="H156" s="4">
        <v>41479</v>
      </c>
      <c r="I156" s="5">
        <f t="shared" si="2"/>
        <v>2013</v>
      </c>
      <c r="J156" s="2" t="s">
        <v>14</v>
      </c>
      <c r="K156" s="2">
        <v>155</v>
      </c>
      <c r="L156" s="2">
        <v>6226</v>
      </c>
    </row>
    <row r="157" spans="1:12" x14ac:dyDescent="0.35">
      <c r="A157" s="2">
        <v>162</v>
      </c>
      <c r="B157" s="2">
        <v>14</v>
      </c>
      <c r="C157" s="2" t="s">
        <v>33</v>
      </c>
      <c r="D157" s="2" t="s">
        <v>117</v>
      </c>
      <c r="E157" s="2" t="s">
        <v>36</v>
      </c>
      <c r="F157" s="3">
        <v>41481</v>
      </c>
      <c r="G157" s="2" t="s">
        <v>13</v>
      </c>
      <c r="H157" s="4">
        <v>41481</v>
      </c>
      <c r="I157" s="5">
        <f t="shared" si="2"/>
        <v>2013</v>
      </c>
      <c r="J157" s="2" t="s">
        <v>14</v>
      </c>
      <c r="K157" s="2">
        <v>156</v>
      </c>
      <c r="L157" s="2">
        <v>6240</v>
      </c>
    </row>
    <row r="158" spans="1:12" x14ac:dyDescent="0.35">
      <c r="A158" s="2">
        <v>163</v>
      </c>
      <c r="B158" s="2">
        <v>68</v>
      </c>
      <c r="C158" s="2" t="s">
        <v>33</v>
      </c>
      <c r="D158" s="2" t="s">
        <v>117</v>
      </c>
      <c r="E158" s="2" t="s">
        <v>36</v>
      </c>
      <c r="F158" s="3">
        <v>41483</v>
      </c>
      <c r="G158" s="2" t="s">
        <v>13</v>
      </c>
      <c r="H158" s="4">
        <v>41483</v>
      </c>
      <c r="I158" s="5">
        <f t="shared" si="2"/>
        <v>2013</v>
      </c>
      <c r="J158" s="2" t="s">
        <v>14</v>
      </c>
      <c r="K158" s="2">
        <v>157</v>
      </c>
      <c r="L158" s="2">
        <v>6308</v>
      </c>
    </row>
    <row r="159" spans="1:12" x14ac:dyDescent="0.35">
      <c r="A159" s="2">
        <v>166</v>
      </c>
      <c r="B159" s="2">
        <v>29</v>
      </c>
      <c r="C159" s="2" t="s">
        <v>20</v>
      </c>
      <c r="D159" s="2" t="s">
        <v>114</v>
      </c>
      <c r="E159" s="2" t="s">
        <v>24</v>
      </c>
      <c r="F159" s="3">
        <v>41557</v>
      </c>
      <c r="G159" s="2" t="s">
        <v>22</v>
      </c>
      <c r="H159" s="4">
        <v>41557</v>
      </c>
      <c r="I159" s="5">
        <f t="shared" si="2"/>
        <v>2013</v>
      </c>
      <c r="J159" s="2" t="s">
        <v>37</v>
      </c>
      <c r="K159" s="2">
        <v>158</v>
      </c>
      <c r="L159" s="2">
        <v>6337</v>
      </c>
    </row>
    <row r="160" spans="1:12" x14ac:dyDescent="0.35">
      <c r="A160" s="2">
        <v>167</v>
      </c>
      <c r="B160" s="2">
        <v>61</v>
      </c>
      <c r="C160" s="2" t="s">
        <v>20</v>
      </c>
      <c r="D160" s="2" t="s">
        <v>114</v>
      </c>
      <c r="E160" s="2" t="s">
        <v>75</v>
      </c>
      <c r="F160" s="3">
        <v>41560</v>
      </c>
      <c r="G160" s="2" t="s">
        <v>22</v>
      </c>
      <c r="H160" s="4">
        <v>41560</v>
      </c>
      <c r="I160" s="5">
        <f t="shared" si="2"/>
        <v>2013</v>
      </c>
      <c r="J160" s="2" t="s">
        <v>14</v>
      </c>
      <c r="K160" s="2">
        <v>159</v>
      </c>
      <c r="L160" s="2">
        <v>6398</v>
      </c>
    </row>
    <row r="161" spans="1:12" x14ac:dyDescent="0.35">
      <c r="A161" s="2">
        <v>168</v>
      </c>
      <c r="B161" s="2">
        <v>100</v>
      </c>
      <c r="C161" s="2" t="s">
        <v>20</v>
      </c>
      <c r="D161" s="2" t="s">
        <v>114</v>
      </c>
      <c r="E161" s="2" t="s">
        <v>31</v>
      </c>
      <c r="F161" s="3">
        <v>41563</v>
      </c>
      <c r="G161" s="2" t="s">
        <v>22</v>
      </c>
      <c r="H161" s="4">
        <v>41563</v>
      </c>
      <c r="I161" s="5">
        <f t="shared" si="2"/>
        <v>2013</v>
      </c>
      <c r="J161" s="2" t="s">
        <v>14</v>
      </c>
      <c r="K161" s="2">
        <v>160</v>
      </c>
      <c r="L161" s="2">
        <v>6498</v>
      </c>
    </row>
    <row r="162" spans="1:12" x14ac:dyDescent="0.35">
      <c r="A162" s="2">
        <v>169</v>
      </c>
      <c r="B162" s="2">
        <v>68</v>
      </c>
      <c r="C162" s="2" t="s">
        <v>20</v>
      </c>
      <c r="D162" s="2" t="s">
        <v>114</v>
      </c>
      <c r="E162" s="2" t="s">
        <v>23</v>
      </c>
      <c r="F162" s="3">
        <v>41566</v>
      </c>
      <c r="G162" s="2" t="s">
        <v>22</v>
      </c>
      <c r="H162" s="4">
        <v>41566</v>
      </c>
      <c r="I162" s="5">
        <f t="shared" si="2"/>
        <v>2013</v>
      </c>
      <c r="J162" s="2" t="s">
        <v>14</v>
      </c>
      <c r="K162" s="2">
        <v>161</v>
      </c>
      <c r="L162" s="2">
        <v>6566</v>
      </c>
    </row>
    <row r="163" spans="1:12" x14ac:dyDescent="0.35">
      <c r="A163" s="2">
        <v>171</v>
      </c>
      <c r="B163" s="2">
        <v>115</v>
      </c>
      <c r="C163" s="2" t="s">
        <v>20</v>
      </c>
      <c r="D163" s="2" t="s">
        <v>114</v>
      </c>
      <c r="E163" s="2" t="s">
        <v>25</v>
      </c>
      <c r="F163" s="3">
        <v>41577</v>
      </c>
      <c r="G163" s="2" t="s">
        <v>22</v>
      </c>
      <c r="H163" s="4">
        <v>41577</v>
      </c>
      <c r="I163" s="5">
        <f t="shared" si="2"/>
        <v>2013</v>
      </c>
      <c r="J163" s="2" t="s">
        <v>14</v>
      </c>
      <c r="K163" s="2">
        <v>162</v>
      </c>
      <c r="L163" s="2">
        <v>6681</v>
      </c>
    </row>
    <row r="164" spans="1:12" x14ac:dyDescent="0.35">
      <c r="A164" s="2">
        <v>172</v>
      </c>
      <c r="B164" s="2">
        <v>0</v>
      </c>
      <c r="C164" s="2" t="s">
        <v>20</v>
      </c>
      <c r="D164" s="2" t="s">
        <v>114</v>
      </c>
      <c r="E164" s="2" t="s">
        <v>41</v>
      </c>
      <c r="F164" s="3">
        <v>41580</v>
      </c>
      <c r="G164" s="2" t="s">
        <v>22</v>
      </c>
      <c r="H164" s="4">
        <v>41580</v>
      </c>
      <c r="I164" s="5">
        <f t="shared" si="2"/>
        <v>2013</v>
      </c>
      <c r="J164" s="2" t="s">
        <v>14</v>
      </c>
      <c r="K164" s="2">
        <v>163</v>
      </c>
      <c r="L164" s="2">
        <v>6681</v>
      </c>
    </row>
    <row r="165" spans="1:12" x14ac:dyDescent="0.35">
      <c r="A165" s="2">
        <v>173</v>
      </c>
      <c r="B165" s="2">
        <v>3</v>
      </c>
      <c r="C165" s="2" t="s">
        <v>18</v>
      </c>
      <c r="D165" s="2" t="s">
        <v>113</v>
      </c>
      <c r="E165" s="2" t="s">
        <v>26</v>
      </c>
      <c r="F165" s="3">
        <v>41584</v>
      </c>
      <c r="G165" s="2" t="s">
        <v>22</v>
      </c>
      <c r="H165" s="4">
        <v>41584</v>
      </c>
      <c r="I165" s="5">
        <f t="shared" si="2"/>
        <v>2013</v>
      </c>
      <c r="J165" s="2" t="s">
        <v>54</v>
      </c>
      <c r="K165" s="2">
        <v>164</v>
      </c>
      <c r="L165" s="2">
        <v>6684</v>
      </c>
    </row>
    <row r="166" spans="1:12" x14ac:dyDescent="0.35">
      <c r="A166" s="2">
        <v>174</v>
      </c>
      <c r="B166" s="2">
        <v>57</v>
      </c>
      <c r="C166" s="2" t="s">
        <v>18</v>
      </c>
      <c r="D166" s="2" t="s">
        <v>113</v>
      </c>
      <c r="E166" s="2" t="s">
        <v>50</v>
      </c>
      <c r="F166" s="3">
        <v>41592</v>
      </c>
      <c r="G166" s="2" t="s">
        <v>22</v>
      </c>
      <c r="H166" s="4">
        <v>41592</v>
      </c>
      <c r="I166" s="5">
        <f t="shared" si="2"/>
        <v>2013</v>
      </c>
      <c r="J166" s="2" t="s">
        <v>54</v>
      </c>
      <c r="K166" s="2">
        <v>165</v>
      </c>
      <c r="L166" s="2">
        <v>6741</v>
      </c>
    </row>
    <row r="167" spans="1:12" x14ac:dyDescent="0.35">
      <c r="A167" s="2">
        <v>175</v>
      </c>
      <c r="B167" s="2">
        <v>86</v>
      </c>
      <c r="C167" s="2" t="s">
        <v>18</v>
      </c>
      <c r="D167" s="2" t="s">
        <v>113</v>
      </c>
      <c r="E167" s="2" t="s">
        <v>76</v>
      </c>
      <c r="F167" s="3">
        <v>41599</v>
      </c>
      <c r="G167" s="2" t="s">
        <v>22</v>
      </c>
      <c r="H167" s="4">
        <v>41599</v>
      </c>
      <c r="I167" s="5">
        <f t="shared" si="2"/>
        <v>2013</v>
      </c>
      <c r="J167" s="2" t="s">
        <v>14</v>
      </c>
      <c r="K167" s="2">
        <v>166</v>
      </c>
      <c r="L167" s="2">
        <v>6827</v>
      </c>
    </row>
    <row r="168" spans="1:12" x14ac:dyDescent="0.35">
      <c r="A168" s="2">
        <v>176</v>
      </c>
      <c r="B168" s="2">
        <v>99</v>
      </c>
      <c r="C168" s="2" t="s">
        <v>18</v>
      </c>
      <c r="D168" s="2" t="s">
        <v>113</v>
      </c>
      <c r="E168" s="2" t="s">
        <v>39</v>
      </c>
      <c r="F168" s="3">
        <v>41602</v>
      </c>
      <c r="G168" s="2" t="s">
        <v>22</v>
      </c>
      <c r="H168" s="4">
        <v>41602</v>
      </c>
      <c r="I168" s="5">
        <f t="shared" si="2"/>
        <v>2013</v>
      </c>
      <c r="J168" s="2" t="s">
        <v>14</v>
      </c>
      <c r="K168" s="2">
        <v>167</v>
      </c>
      <c r="L168" s="2">
        <v>6926</v>
      </c>
    </row>
    <row r="169" spans="1:12" x14ac:dyDescent="0.35">
      <c r="A169" s="2">
        <v>177</v>
      </c>
      <c r="B169" s="2">
        <v>19</v>
      </c>
      <c r="C169" s="2" t="s">
        <v>18</v>
      </c>
      <c r="D169" s="2" t="s">
        <v>113</v>
      </c>
      <c r="E169" s="2" t="s">
        <v>80</v>
      </c>
      <c r="F169" s="3">
        <v>41605</v>
      </c>
      <c r="G169" s="2" t="s">
        <v>22</v>
      </c>
      <c r="H169" s="4">
        <v>41605</v>
      </c>
      <c r="I169" s="5">
        <f t="shared" si="2"/>
        <v>2013</v>
      </c>
      <c r="J169" s="2" t="s">
        <v>14</v>
      </c>
      <c r="K169" s="2">
        <v>168</v>
      </c>
      <c r="L169" s="2">
        <v>6945</v>
      </c>
    </row>
    <row r="170" spans="1:12" x14ac:dyDescent="0.35">
      <c r="A170" s="2">
        <v>178</v>
      </c>
      <c r="B170" s="2">
        <v>31</v>
      </c>
      <c r="C170" s="2" t="s">
        <v>30</v>
      </c>
      <c r="D170" s="2" t="s">
        <v>116</v>
      </c>
      <c r="E170" s="2" t="s">
        <v>19</v>
      </c>
      <c r="F170" s="3">
        <v>41613</v>
      </c>
      <c r="G170" s="2" t="s">
        <v>22</v>
      </c>
      <c r="H170" s="4">
        <v>41613</v>
      </c>
      <c r="I170" s="5">
        <f t="shared" si="2"/>
        <v>2013</v>
      </c>
      <c r="J170" s="2" t="s">
        <v>14</v>
      </c>
      <c r="K170" s="2">
        <v>169</v>
      </c>
      <c r="L170" s="2">
        <v>6976</v>
      </c>
    </row>
    <row r="171" spans="1:12" x14ac:dyDescent="0.35">
      <c r="A171" s="2">
        <v>179</v>
      </c>
      <c r="B171" s="2">
        <v>0</v>
      </c>
      <c r="C171" s="2" t="s">
        <v>30</v>
      </c>
      <c r="D171" s="2" t="s">
        <v>116</v>
      </c>
      <c r="E171" s="2" t="s">
        <v>43</v>
      </c>
      <c r="F171" s="3">
        <v>41616</v>
      </c>
      <c r="G171" s="2" t="s">
        <v>22</v>
      </c>
      <c r="H171" s="4">
        <v>41616</v>
      </c>
      <c r="I171" s="5">
        <f t="shared" si="2"/>
        <v>2013</v>
      </c>
      <c r="J171" s="2" t="s">
        <v>14</v>
      </c>
      <c r="K171" s="2">
        <v>170</v>
      </c>
      <c r="L171" s="2">
        <v>6976</v>
      </c>
    </row>
    <row r="172" spans="1:12" x14ac:dyDescent="0.35">
      <c r="A172" s="2">
        <v>181</v>
      </c>
      <c r="B172" s="2">
        <v>119</v>
      </c>
      <c r="C172" s="2" t="s">
        <v>30</v>
      </c>
      <c r="D172" s="2" t="s">
        <v>116</v>
      </c>
      <c r="E172" s="2" t="s">
        <v>19</v>
      </c>
      <c r="F172" s="3">
        <v>41626</v>
      </c>
      <c r="G172" s="2" t="s">
        <v>22</v>
      </c>
      <c r="H172" s="4">
        <v>41626</v>
      </c>
      <c r="I172" s="5">
        <f t="shared" si="2"/>
        <v>2013</v>
      </c>
      <c r="J172" s="2" t="s">
        <v>54</v>
      </c>
      <c r="K172" s="2">
        <v>171</v>
      </c>
      <c r="L172" s="2">
        <v>7095</v>
      </c>
    </row>
    <row r="173" spans="1:12" x14ac:dyDescent="0.35">
      <c r="A173" s="2">
        <v>182</v>
      </c>
      <c r="B173" s="2">
        <v>96</v>
      </c>
      <c r="C173" s="2" t="s">
        <v>30</v>
      </c>
      <c r="D173" s="2" t="s">
        <v>116</v>
      </c>
      <c r="E173" s="2" t="s">
        <v>19</v>
      </c>
      <c r="F173" s="3">
        <v>41626</v>
      </c>
      <c r="G173" s="2" t="s">
        <v>22</v>
      </c>
      <c r="H173" s="4">
        <v>41626</v>
      </c>
      <c r="I173" s="5">
        <f t="shared" si="2"/>
        <v>2013</v>
      </c>
      <c r="J173" s="2" t="s">
        <v>54</v>
      </c>
      <c r="K173" s="2">
        <v>172</v>
      </c>
      <c r="L173" s="2">
        <v>7191</v>
      </c>
    </row>
    <row r="174" spans="1:12" x14ac:dyDescent="0.35">
      <c r="A174" s="2">
        <v>183</v>
      </c>
      <c r="B174" s="2">
        <v>46</v>
      </c>
      <c r="C174" s="2" t="s">
        <v>30</v>
      </c>
      <c r="D174" s="2" t="s">
        <v>116</v>
      </c>
      <c r="E174" s="2" t="s">
        <v>43</v>
      </c>
      <c r="F174" s="3">
        <v>41634</v>
      </c>
      <c r="G174" s="2" t="s">
        <v>22</v>
      </c>
      <c r="H174" s="4">
        <v>41634</v>
      </c>
      <c r="I174" s="5">
        <f t="shared" si="2"/>
        <v>2013</v>
      </c>
      <c r="J174" s="2" t="s">
        <v>54</v>
      </c>
      <c r="K174" s="2">
        <v>173</v>
      </c>
      <c r="L174" s="2">
        <v>7237</v>
      </c>
    </row>
    <row r="175" spans="1:12" x14ac:dyDescent="0.35">
      <c r="A175" s="2">
        <v>184</v>
      </c>
      <c r="B175" s="2">
        <v>11</v>
      </c>
      <c r="C175" s="2" t="s">
        <v>30</v>
      </c>
      <c r="D175" s="2" t="s">
        <v>116</v>
      </c>
      <c r="E175" s="2" t="s">
        <v>43</v>
      </c>
      <c r="F175" s="3">
        <v>41634</v>
      </c>
      <c r="G175" s="2" t="s">
        <v>22</v>
      </c>
      <c r="H175" s="4">
        <v>41634</v>
      </c>
      <c r="I175" s="5">
        <f t="shared" si="2"/>
        <v>2013</v>
      </c>
      <c r="J175" s="2" t="s">
        <v>54</v>
      </c>
      <c r="K175" s="2">
        <v>174</v>
      </c>
      <c r="L175" s="2">
        <v>7248</v>
      </c>
    </row>
    <row r="176" spans="1:12" x14ac:dyDescent="0.35">
      <c r="A176" s="2">
        <v>185</v>
      </c>
      <c r="B176" s="2">
        <v>123</v>
      </c>
      <c r="C176" s="2" t="s">
        <v>38</v>
      </c>
      <c r="D176" s="2" t="s">
        <v>118</v>
      </c>
      <c r="E176" s="2" t="s">
        <v>81</v>
      </c>
      <c r="F176" s="3">
        <v>41658</v>
      </c>
      <c r="G176" s="2" t="s">
        <v>28</v>
      </c>
      <c r="H176" s="4">
        <v>41658</v>
      </c>
      <c r="I176" s="5">
        <f t="shared" si="2"/>
        <v>2014</v>
      </c>
      <c r="J176" s="2" t="s">
        <v>14</v>
      </c>
      <c r="K176" s="2">
        <v>175</v>
      </c>
      <c r="L176" s="2">
        <v>7371</v>
      </c>
    </row>
    <row r="177" spans="1:12" x14ac:dyDescent="0.35">
      <c r="A177" s="2">
        <v>186</v>
      </c>
      <c r="B177" s="2">
        <v>78</v>
      </c>
      <c r="C177" s="2" t="s">
        <v>38</v>
      </c>
      <c r="D177" s="2" t="s">
        <v>118</v>
      </c>
      <c r="E177" s="2" t="s">
        <v>82</v>
      </c>
      <c r="F177" s="3">
        <v>41661</v>
      </c>
      <c r="G177" s="2" t="s">
        <v>28</v>
      </c>
      <c r="H177" s="4">
        <v>41661</v>
      </c>
      <c r="I177" s="5">
        <f t="shared" si="2"/>
        <v>2014</v>
      </c>
      <c r="J177" s="2" t="s">
        <v>14</v>
      </c>
      <c r="K177" s="2">
        <v>176</v>
      </c>
      <c r="L177" s="2">
        <v>7449</v>
      </c>
    </row>
    <row r="178" spans="1:12" x14ac:dyDescent="0.35">
      <c r="A178" s="2">
        <v>187</v>
      </c>
      <c r="B178" s="2">
        <v>6</v>
      </c>
      <c r="C178" s="2" t="s">
        <v>38</v>
      </c>
      <c r="D178" s="2" t="s">
        <v>118</v>
      </c>
      <c r="E178" s="2" t="s">
        <v>83</v>
      </c>
      <c r="F178" s="3">
        <v>41664</v>
      </c>
      <c r="G178" s="2" t="s">
        <v>28</v>
      </c>
      <c r="H178" s="4">
        <v>41664</v>
      </c>
      <c r="I178" s="5">
        <f t="shared" si="2"/>
        <v>2014</v>
      </c>
      <c r="J178" s="2" t="s">
        <v>14</v>
      </c>
      <c r="K178" s="2">
        <v>177</v>
      </c>
      <c r="L178" s="2">
        <v>7455</v>
      </c>
    </row>
    <row r="179" spans="1:12" x14ac:dyDescent="0.35">
      <c r="A179" s="2">
        <v>188</v>
      </c>
      <c r="B179" s="2">
        <v>2</v>
      </c>
      <c r="C179" s="2" t="s">
        <v>38</v>
      </c>
      <c r="D179" s="2" t="s">
        <v>118</v>
      </c>
      <c r="E179" s="2" t="s">
        <v>82</v>
      </c>
      <c r="F179" s="3">
        <v>41667</v>
      </c>
      <c r="G179" s="2" t="s">
        <v>28</v>
      </c>
      <c r="H179" s="4">
        <v>41667</v>
      </c>
      <c r="I179" s="5">
        <f t="shared" si="2"/>
        <v>2014</v>
      </c>
      <c r="J179" s="2" t="s">
        <v>14</v>
      </c>
      <c r="K179" s="2">
        <v>178</v>
      </c>
      <c r="L179" s="2">
        <v>7457</v>
      </c>
    </row>
    <row r="180" spans="1:12" x14ac:dyDescent="0.35">
      <c r="A180" s="2">
        <v>189</v>
      </c>
      <c r="B180" s="2">
        <v>82</v>
      </c>
      <c r="C180" s="2" t="s">
        <v>38</v>
      </c>
      <c r="D180" s="2" t="s">
        <v>118</v>
      </c>
      <c r="E180" s="2" t="s">
        <v>84</v>
      </c>
      <c r="F180" s="3">
        <v>41670</v>
      </c>
      <c r="G180" s="2" t="s">
        <v>28</v>
      </c>
      <c r="H180" s="4">
        <v>41670</v>
      </c>
      <c r="I180" s="5">
        <f t="shared" si="2"/>
        <v>2014</v>
      </c>
      <c r="J180" s="2" t="s">
        <v>14</v>
      </c>
      <c r="K180" s="2">
        <v>179</v>
      </c>
      <c r="L180" s="2">
        <v>7539</v>
      </c>
    </row>
    <row r="181" spans="1:12" x14ac:dyDescent="0.35">
      <c r="A181" s="2">
        <v>190</v>
      </c>
      <c r="B181" s="2">
        <v>4</v>
      </c>
      <c r="C181" s="2" t="s">
        <v>38</v>
      </c>
      <c r="D181" s="2" t="s">
        <v>118</v>
      </c>
      <c r="E181" s="2" t="s">
        <v>83</v>
      </c>
      <c r="F181" s="3">
        <v>41676</v>
      </c>
      <c r="G181" s="2" t="s">
        <v>28</v>
      </c>
      <c r="H181" s="4">
        <v>41676</v>
      </c>
      <c r="I181" s="5">
        <f t="shared" si="2"/>
        <v>2014</v>
      </c>
      <c r="J181" s="2" t="s">
        <v>54</v>
      </c>
      <c r="K181" s="2">
        <v>180</v>
      </c>
      <c r="L181" s="2">
        <v>7543</v>
      </c>
    </row>
    <row r="182" spans="1:12" x14ac:dyDescent="0.35">
      <c r="A182" s="2">
        <v>191</v>
      </c>
      <c r="B182" s="2">
        <v>67</v>
      </c>
      <c r="C182" s="2" t="s">
        <v>38</v>
      </c>
      <c r="D182" s="2" t="s">
        <v>118</v>
      </c>
      <c r="E182" s="2" t="s">
        <v>83</v>
      </c>
      <c r="F182" s="3">
        <v>41676</v>
      </c>
      <c r="G182" s="2" t="s">
        <v>28</v>
      </c>
      <c r="H182" s="4">
        <v>41676</v>
      </c>
      <c r="I182" s="5">
        <f t="shared" si="2"/>
        <v>2014</v>
      </c>
      <c r="J182" s="2" t="s">
        <v>54</v>
      </c>
      <c r="K182" s="2">
        <v>181</v>
      </c>
      <c r="L182" s="2">
        <v>7610</v>
      </c>
    </row>
    <row r="183" spans="1:12" x14ac:dyDescent="0.35">
      <c r="A183" s="2">
        <v>192</v>
      </c>
      <c r="B183" s="2">
        <v>38</v>
      </c>
      <c r="C183" s="2" t="s">
        <v>38</v>
      </c>
      <c r="D183" s="2" t="s">
        <v>118</v>
      </c>
      <c r="E183" s="2" t="s">
        <v>84</v>
      </c>
      <c r="F183" s="3">
        <v>41684</v>
      </c>
      <c r="G183" s="2" t="s">
        <v>28</v>
      </c>
      <c r="H183" s="4">
        <v>41684</v>
      </c>
      <c r="I183" s="5">
        <f t="shared" si="2"/>
        <v>2014</v>
      </c>
      <c r="J183" s="2" t="s">
        <v>54</v>
      </c>
      <c r="K183" s="2">
        <v>182</v>
      </c>
      <c r="L183" s="2">
        <v>7648</v>
      </c>
    </row>
    <row r="184" spans="1:12" x14ac:dyDescent="0.35">
      <c r="A184" s="2">
        <v>193</v>
      </c>
      <c r="B184" s="2">
        <v>105</v>
      </c>
      <c r="C184" s="2" t="s">
        <v>38</v>
      </c>
      <c r="D184" s="2" t="s">
        <v>118</v>
      </c>
      <c r="E184" s="2" t="s">
        <v>84</v>
      </c>
      <c r="F184" s="3">
        <v>41684</v>
      </c>
      <c r="G184" s="2" t="s">
        <v>28</v>
      </c>
      <c r="H184" s="4">
        <v>41684</v>
      </c>
      <c r="I184" s="5">
        <f t="shared" si="2"/>
        <v>2014</v>
      </c>
      <c r="J184" s="2" t="s">
        <v>54</v>
      </c>
      <c r="K184" s="2">
        <v>183</v>
      </c>
      <c r="L184" s="2">
        <v>7753</v>
      </c>
    </row>
    <row r="185" spans="1:12" x14ac:dyDescent="0.35">
      <c r="A185" s="2">
        <v>194</v>
      </c>
      <c r="B185" s="2">
        <v>136</v>
      </c>
      <c r="C185" s="2" t="s">
        <v>29</v>
      </c>
      <c r="D185" s="2" t="s">
        <v>115</v>
      </c>
      <c r="E185" s="2" t="s">
        <v>85</v>
      </c>
      <c r="F185" s="3">
        <v>41696</v>
      </c>
      <c r="G185" s="2" t="s">
        <v>28</v>
      </c>
      <c r="H185" s="4">
        <v>41696</v>
      </c>
      <c r="I185" s="5">
        <f t="shared" si="2"/>
        <v>2014</v>
      </c>
      <c r="J185" s="2" t="s">
        <v>14</v>
      </c>
      <c r="K185" s="2">
        <v>184</v>
      </c>
      <c r="L185" s="2">
        <v>7889</v>
      </c>
    </row>
    <row r="186" spans="1:12" x14ac:dyDescent="0.35">
      <c r="A186" s="2">
        <v>195</v>
      </c>
      <c r="B186" s="2">
        <v>48</v>
      </c>
      <c r="C186" s="2" t="s">
        <v>11</v>
      </c>
      <c r="D186" s="2" t="s">
        <v>111</v>
      </c>
      <c r="E186" s="2" t="s">
        <v>85</v>
      </c>
      <c r="F186" s="3">
        <v>41698</v>
      </c>
      <c r="G186" s="2" t="s">
        <v>28</v>
      </c>
      <c r="H186" s="4">
        <v>41698</v>
      </c>
      <c r="I186" s="5">
        <f t="shared" si="2"/>
        <v>2014</v>
      </c>
      <c r="J186" s="2" t="s">
        <v>14</v>
      </c>
      <c r="K186" s="2">
        <v>185</v>
      </c>
      <c r="L186" s="2">
        <v>7937</v>
      </c>
    </row>
    <row r="187" spans="1:12" x14ac:dyDescent="0.35">
      <c r="A187" s="2">
        <v>196</v>
      </c>
      <c r="B187" s="2">
        <v>5</v>
      </c>
      <c r="C187" s="2" t="s">
        <v>16</v>
      </c>
      <c r="D187" s="2" t="s">
        <v>112</v>
      </c>
      <c r="E187" s="2" t="s">
        <v>27</v>
      </c>
      <c r="F187" s="3">
        <v>41700</v>
      </c>
      <c r="G187" s="2" t="s">
        <v>28</v>
      </c>
      <c r="H187" s="4">
        <v>41700</v>
      </c>
      <c r="I187" s="5">
        <f t="shared" si="2"/>
        <v>2014</v>
      </c>
      <c r="J187" s="2" t="s">
        <v>14</v>
      </c>
      <c r="K187" s="2">
        <v>186</v>
      </c>
      <c r="L187" s="2">
        <v>7942</v>
      </c>
    </row>
    <row r="188" spans="1:12" x14ac:dyDescent="0.35">
      <c r="A188" s="2">
        <v>198</v>
      </c>
      <c r="B188" s="2">
        <v>36</v>
      </c>
      <c r="C188" s="2" t="s">
        <v>16</v>
      </c>
      <c r="D188" s="2" t="s">
        <v>112</v>
      </c>
      <c r="E188" s="2" t="s">
        <v>27</v>
      </c>
      <c r="F188" s="3">
        <v>41719</v>
      </c>
      <c r="G188" s="2" t="s">
        <v>28</v>
      </c>
      <c r="H188" s="4">
        <v>41719</v>
      </c>
      <c r="I188" s="5">
        <f t="shared" si="2"/>
        <v>2014</v>
      </c>
      <c r="J188" s="2" t="s">
        <v>37</v>
      </c>
      <c r="K188" s="2">
        <v>187</v>
      </c>
      <c r="L188" s="2">
        <v>7978</v>
      </c>
    </row>
    <row r="189" spans="1:12" x14ac:dyDescent="0.35">
      <c r="A189" s="2">
        <v>199</v>
      </c>
      <c r="B189" s="2">
        <v>54</v>
      </c>
      <c r="C189" s="2" t="s">
        <v>18</v>
      </c>
      <c r="D189" s="2" t="s">
        <v>113</v>
      </c>
      <c r="E189" s="2" t="s">
        <v>27</v>
      </c>
      <c r="F189" s="3">
        <v>41721</v>
      </c>
      <c r="G189" s="2" t="s">
        <v>28</v>
      </c>
      <c r="H189" s="4">
        <v>41721</v>
      </c>
      <c r="I189" s="5">
        <f t="shared" si="2"/>
        <v>2014</v>
      </c>
      <c r="J189" s="2" t="s">
        <v>37</v>
      </c>
      <c r="K189" s="2">
        <v>188</v>
      </c>
      <c r="L189" s="2">
        <v>8032</v>
      </c>
    </row>
    <row r="190" spans="1:12" x14ac:dyDescent="0.35">
      <c r="A190" s="2">
        <v>200</v>
      </c>
      <c r="B190" s="2">
        <v>57</v>
      </c>
      <c r="C190" s="2" t="s">
        <v>29</v>
      </c>
      <c r="D190" s="2" t="s">
        <v>115</v>
      </c>
      <c r="E190" s="2" t="s">
        <v>27</v>
      </c>
      <c r="F190" s="3">
        <v>41726</v>
      </c>
      <c r="G190" s="2" t="s">
        <v>28</v>
      </c>
      <c r="H190" s="4">
        <v>41726</v>
      </c>
      <c r="I190" s="5">
        <f t="shared" si="2"/>
        <v>2014</v>
      </c>
      <c r="J190" s="2" t="s">
        <v>37</v>
      </c>
      <c r="K190" s="2">
        <v>189</v>
      </c>
      <c r="L190" s="2">
        <v>8089</v>
      </c>
    </row>
    <row r="191" spans="1:12" x14ac:dyDescent="0.35">
      <c r="A191" s="2">
        <v>201</v>
      </c>
      <c r="B191" s="2">
        <v>23</v>
      </c>
      <c r="C191" s="2" t="s">
        <v>20</v>
      </c>
      <c r="D191" s="2" t="s">
        <v>114</v>
      </c>
      <c r="E191" s="2" t="s">
        <v>27</v>
      </c>
      <c r="F191" s="3">
        <v>41728</v>
      </c>
      <c r="G191" s="2" t="s">
        <v>28</v>
      </c>
      <c r="H191" s="4">
        <v>41728</v>
      </c>
      <c r="I191" s="5">
        <f t="shared" si="2"/>
        <v>2014</v>
      </c>
      <c r="J191" s="2" t="s">
        <v>37</v>
      </c>
      <c r="K191" s="2">
        <v>190</v>
      </c>
      <c r="L191" s="2">
        <v>8112</v>
      </c>
    </row>
    <row r="192" spans="1:12" x14ac:dyDescent="0.35">
      <c r="A192" s="2">
        <v>202</v>
      </c>
      <c r="B192" s="2">
        <v>72</v>
      </c>
      <c r="C192" s="2" t="s">
        <v>30</v>
      </c>
      <c r="D192" s="2" t="s">
        <v>116</v>
      </c>
      <c r="E192" s="2" t="s">
        <v>27</v>
      </c>
      <c r="F192" s="3">
        <v>41733</v>
      </c>
      <c r="G192" s="2" t="s">
        <v>35</v>
      </c>
      <c r="H192" s="4">
        <v>41733</v>
      </c>
      <c r="I192" s="5">
        <f t="shared" si="2"/>
        <v>2014</v>
      </c>
      <c r="J192" s="2" t="s">
        <v>37</v>
      </c>
      <c r="K192" s="2">
        <v>191</v>
      </c>
      <c r="L192" s="2">
        <v>8184</v>
      </c>
    </row>
    <row r="193" spans="1:12" x14ac:dyDescent="0.35">
      <c r="A193" s="2">
        <v>203</v>
      </c>
      <c r="B193" s="2">
        <v>77</v>
      </c>
      <c r="C193" s="2" t="s">
        <v>11</v>
      </c>
      <c r="D193" s="2" t="s">
        <v>111</v>
      </c>
      <c r="E193" s="2" t="s">
        <v>27</v>
      </c>
      <c r="F193" s="3">
        <v>41735</v>
      </c>
      <c r="G193" s="2" t="s">
        <v>35</v>
      </c>
      <c r="H193" s="4">
        <v>41735</v>
      </c>
      <c r="I193" s="5">
        <f t="shared" si="2"/>
        <v>2014</v>
      </c>
      <c r="J193" s="2" t="s">
        <v>37</v>
      </c>
      <c r="K193" s="2">
        <v>192</v>
      </c>
      <c r="L193" s="2">
        <v>8261</v>
      </c>
    </row>
    <row r="194" spans="1:12" x14ac:dyDescent="0.35">
      <c r="A194" s="2">
        <v>204</v>
      </c>
      <c r="B194" s="2">
        <v>1</v>
      </c>
      <c r="C194" s="2" t="s">
        <v>46</v>
      </c>
      <c r="D194" s="2" t="s">
        <v>119</v>
      </c>
      <c r="E194" s="2" t="s">
        <v>86</v>
      </c>
      <c r="F194" s="3">
        <v>41829</v>
      </c>
      <c r="G194" s="2" t="s">
        <v>13</v>
      </c>
      <c r="H194" s="4">
        <v>41829</v>
      </c>
      <c r="I194" s="5">
        <f t="shared" si="2"/>
        <v>2014</v>
      </c>
      <c r="J194" s="2" t="s">
        <v>54</v>
      </c>
      <c r="K194" s="2">
        <v>193</v>
      </c>
      <c r="L194" s="2">
        <v>8262</v>
      </c>
    </row>
    <row r="195" spans="1:12" x14ac:dyDescent="0.35">
      <c r="A195" s="2">
        <v>205</v>
      </c>
      <c r="B195" s="2">
        <v>8</v>
      </c>
      <c r="C195" s="2" t="s">
        <v>46</v>
      </c>
      <c r="D195" s="2" t="s">
        <v>119</v>
      </c>
      <c r="E195" s="2" t="s">
        <v>86</v>
      </c>
      <c r="F195" s="3">
        <v>41829</v>
      </c>
      <c r="G195" s="2" t="s">
        <v>13</v>
      </c>
      <c r="H195" s="4">
        <v>41829</v>
      </c>
      <c r="I195" s="5">
        <f t="shared" ref="I195:I258" si="3">YEAR(F195)</f>
        <v>2014</v>
      </c>
      <c r="J195" s="2" t="s">
        <v>54</v>
      </c>
      <c r="K195" s="2">
        <v>194</v>
      </c>
      <c r="L195" s="2">
        <v>8270</v>
      </c>
    </row>
    <row r="196" spans="1:12" x14ac:dyDescent="0.35">
      <c r="A196" s="2">
        <v>206</v>
      </c>
      <c r="B196" s="2">
        <v>25</v>
      </c>
      <c r="C196" s="2" t="s">
        <v>46</v>
      </c>
      <c r="D196" s="2" t="s">
        <v>119</v>
      </c>
      <c r="E196" s="2" t="s">
        <v>61</v>
      </c>
      <c r="F196" s="3">
        <v>41837</v>
      </c>
      <c r="G196" s="2" t="s">
        <v>13</v>
      </c>
      <c r="H196" s="4">
        <v>41837</v>
      </c>
      <c r="I196" s="5">
        <f t="shared" si="3"/>
        <v>2014</v>
      </c>
      <c r="J196" s="2" t="s">
        <v>54</v>
      </c>
      <c r="K196" s="2">
        <v>195</v>
      </c>
      <c r="L196" s="2">
        <v>8295</v>
      </c>
    </row>
    <row r="197" spans="1:12" x14ac:dyDescent="0.35">
      <c r="A197" s="2">
        <v>207</v>
      </c>
      <c r="B197" s="2">
        <v>0</v>
      </c>
      <c r="C197" s="2" t="s">
        <v>46</v>
      </c>
      <c r="D197" s="2" t="s">
        <v>119</v>
      </c>
      <c r="E197" s="2" t="s">
        <v>61</v>
      </c>
      <c r="F197" s="3">
        <v>41837</v>
      </c>
      <c r="G197" s="2" t="s">
        <v>13</v>
      </c>
      <c r="H197" s="4">
        <v>41837</v>
      </c>
      <c r="I197" s="5">
        <f t="shared" si="3"/>
        <v>2014</v>
      </c>
      <c r="J197" s="2" t="s">
        <v>54</v>
      </c>
      <c r="K197" s="2">
        <v>196</v>
      </c>
      <c r="L197" s="2">
        <v>8295</v>
      </c>
    </row>
    <row r="198" spans="1:12" x14ac:dyDescent="0.35">
      <c r="A198" s="2">
        <v>208</v>
      </c>
      <c r="B198" s="2">
        <v>39</v>
      </c>
      <c r="C198" s="2" t="s">
        <v>46</v>
      </c>
      <c r="D198" s="2" t="s">
        <v>119</v>
      </c>
      <c r="E198" s="2" t="s">
        <v>59</v>
      </c>
      <c r="F198" s="3">
        <v>41847</v>
      </c>
      <c r="G198" s="2" t="s">
        <v>13</v>
      </c>
      <c r="H198" s="4">
        <v>41847</v>
      </c>
      <c r="I198" s="5">
        <f t="shared" si="3"/>
        <v>2014</v>
      </c>
      <c r="J198" s="2" t="s">
        <v>54</v>
      </c>
      <c r="K198" s="2">
        <v>197</v>
      </c>
      <c r="L198" s="2">
        <v>8334</v>
      </c>
    </row>
    <row r="199" spans="1:12" x14ac:dyDescent="0.35">
      <c r="A199" s="2">
        <v>209</v>
      </c>
      <c r="B199" s="2">
        <v>28</v>
      </c>
      <c r="C199" s="2" t="s">
        <v>46</v>
      </c>
      <c r="D199" s="2" t="s">
        <v>119</v>
      </c>
      <c r="E199" s="2" t="s">
        <v>59</v>
      </c>
      <c r="F199" s="3">
        <v>41847</v>
      </c>
      <c r="G199" s="2" t="s">
        <v>13</v>
      </c>
      <c r="H199" s="4">
        <v>41847</v>
      </c>
      <c r="I199" s="5">
        <f t="shared" si="3"/>
        <v>2014</v>
      </c>
      <c r="J199" s="2" t="s">
        <v>54</v>
      </c>
      <c r="K199" s="2">
        <v>198</v>
      </c>
      <c r="L199" s="2">
        <v>8362</v>
      </c>
    </row>
    <row r="200" spans="1:12" x14ac:dyDescent="0.35">
      <c r="A200" s="2">
        <v>210</v>
      </c>
      <c r="B200" s="2">
        <v>0</v>
      </c>
      <c r="C200" s="2" t="s">
        <v>46</v>
      </c>
      <c r="D200" s="2" t="s">
        <v>119</v>
      </c>
      <c r="E200" s="2" t="s">
        <v>57</v>
      </c>
      <c r="F200" s="3">
        <v>41858</v>
      </c>
      <c r="G200" s="2" t="s">
        <v>13</v>
      </c>
      <c r="H200" s="4">
        <v>41858</v>
      </c>
      <c r="I200" s="5">
        <f t="shared" si="3"/>
        <v>2014</v>
      </c>
      <c r="J200" s="2" t="s">
        <v>54</v>
      </c>
      <c r="K200" s="2">
        <v>199</v>
      </c>
      <c r="L200" s="2">
        <v>8362</v>
      </c>
    </row>
    <row r="201" spans="1:12" x14ac:dyDescent="0.35">
      <c r="A201" s="2">
        <v>211</v>
      </c>
      <c r="B201" s="2">
        <v>7</v>
      </c>
      <c r="C201" s="2" t="s">
        <v>46</v>
      </c>
      <c r="D201" s="2" t="s">
        <v>119</v>
      </c>
      <c r="E201" s="2" t="s">
        <v>57</v>
      </c>
      <c r="F201" s="3">
        <v>41858</v>
      </c>
      <c r="G201" s="2" t="s">
        <v>13</v>
      </c>
      <c r="H201" s="4">
        <v>41858</v>
      </c>
      <c r="I201" s="5">
        <f t="shared" si="3"/>
        <v>2014</v>
      </c>
      <c r="J201" s="2" t="s">
        <v>54</v>
      </c>
      <c r="K201" s="2">
        <v>200</v>
      </c>
      <c r="L201" s="2">
        <v>8369</v>
      </c>
    </row>
    <row r="202" spans="1:12" x14ac:dyDescent="0.35">
      <c r="A202" s="2">
        <v>212</v>
      </c>
      <c r="B202" s="2">
        <v>6</v>
      </c>
      <c r="C202" s="2" t="s">
        <v>46</v>
      </c>
      <c r="D202" s="2" t="s">
        <v>119</v>
      </c>
      <c r="E202" s="2" t="s">
        <v>60</v>
      </c>
      <c r="F202" s="3">
        <v>41866</v>
      </c>
      <c r="G202" s="2" t="s">
        <v>13</v>
      </c>
      <c r="H202" s="4">
        <v>41866</v>
      </c>
      <c r="I202" s="5">
        <f t="shared" si="3"/>
        <v>2014</v>
      </c>
      <c r="J202" s="2" t="s">
        <v>54</v>
      </c>
      <c r="K202" s="2">
        <v>201</v>
      </c>
      <c r="L202" s="2">
        <v>8375</v>
      </c>
    </row>
    <row r="203" spans="1:12" x14ac:dyDescent="0.35">
      <c r="A203" s="2">
        <v>213</v>
      </c>
      <c r="B203" s="2">
        <v>20</v>
      </c>
      <c r="C203" s="2" t="s">
        <v>46</v>
      </c>
      <c r="D203" s="2" t="s">
        <v>119</v>
      </c>
      <c r="E203" s="2" t="s">
        <v>60</v>
      </c>
      <c r="F203" s="3">
        <v>41866</v>
      </c>
      <c r="G203" s="2" t="s">
        <v>13</v>
      </c>
      <c r="H203" s="4">
        <v>41866</v>
      </c>
      <c r="I203" s="5">
        <f t="shared" si="3"/>
        <v>2014</v>
      </c>
      <c r="J203" s="2" t="s">
        <v>54</v>
      </c>
      <c r="K203" s="2">
        <v>202</v>
      </c>
      <c r="L203" s="2">
        <v>8395</v>
      </c>
    </row>
    <row r="204" spans="1:12" x14ac:dyDescent="0.35">
      <c r="A204" s="2">
        <v>214</v>
      </c>
      <c r="B204" s="2">
        <v>0</v>
      </c>
      <c r="C204" s="2" t="s">
        <v>46</v>
      </c>
      <c r="D204" s="2" t="s">
        <v>119</v>
      </c>
      <c r="E204" s="2" t="s">
        <v>62</v>
      </c>
      <c r="F204" s="3">
        <v>41878</v>
      </c>
      <c r="G204" s="2" t="s">
        <v>13</v>
      </c>
      <c r="H204" s="4">
        <v>41878</v>
      </c>
      <c r="I204" s="5">
        <f t="shared" si="3"/>
        <v>2014</v>
      </c>
      <c r="J204" s="2" t="s">
        <v>14</v>
      </c>
      <c r="K204" s="2">
        <v>203</v>
      </c>
      <c r="L204" s="2">
        <v>8395</v>
      </c>
    </row>
    <row r="205" spans="1:12" x14ac:dyDescent="0.35">
      <c r="A205" s="2">
        <v>215</v>
      </c>
      <c r="B205" s="2">
        <v>40</v>
      </c>
      <c r="C205" s="2" t="s">
        <v>46</v>
      </c>
      <c r="D205" s="2" t="s">
        <v>119</v>
      </c>
      <c r="E205" s="2" t="s">
        <v>86</v>
      </c>
      <c r="F205" s="3">
        <v>41881</v>
      </c>
      <c r="G205" s="2" t="s">
        <v>13</v>
      </c>
      <c r="H205" s="4">
        <v>41881</v>
      </c>
      <c r="I205" s="5">
        <f t="shared" si="3"/>
        <v>2014</v>
      </c>
      <c r="J205" s="2" t="s">
        <v>14</v>
      </c>
      <c r="K205" s="2">
        <v>204</v>
      </c>
      <c r="L205" s="2">
        <v>8435</v>
      </c>
    </row>
    <row r="206" spans="1:12" x14ac:dyDescent="0.35">
      <c r="A206" s="2">
        <v>216</v>
      </c>
      <c r="B206" s="2">
        <v>1</v>
      </c>
      <c r="C206" s="2" t="s">
        <v>46</v>
      </c>
      <c r="D206" s="2" t="s">
        <v>119</v>
      </c>
      <c r="E206" s="2" t="s">
        <v>79</v>
      </c>
      <c r="F206" s="3">
        <v>41884</v>
      </c>
      <c r="G206" s="2" t="s">
        <v>13</v>
      </c>
      <c r="H206" s="4">
        <v>41884</v>
      </c>
      <c r="I206" s="5">
        <f t="shared" si="3"/>
        <v>2014</v>
      </c>
      <c r="J206" s="2" t="s">
        <v>14</v>
      </c>
      <c r="K206" s="2">
        <v>205</v>
      </c>
      <c r="L206" s="2">
        <v>8436</v>
      </c>
    </row>
    <row r="207" spans="1:12" x14ac:dyDescent="0.35">
      <c r="A207" s="2">
        <v>217</v>
      </c>
      <c r="B207" s="2">
        <v>13</v>
      </c>
      <c r="C207" s="2" t="s">
        <v>46</v>
      </c>
      <c r="D207" s="2" t="s">
        <v>119</v>
      </c>
      <c r="E207" s="2" t="s">
        <v>87</v>
      </c>
      <c r="F207" s="3">
        <v>41887</v>
      </c>
      <c r="G207" s="2" t="s">
        <v>13</v>
      </c>
      <c r="H207" s="4">
        <v>41887</v>
      </c>
      <c r="I207" s="5">
        <f t="shared" si="3"/>
        <v>2014</v>
      </c>
      <c r="J207" s="2" t="s">
        <v>14</v>
      </c>
      <c r="K207" s="2">
        <v>206</v>
      </c>
      <c r="L207" s="2">
        <v>8449</v>
      </c>
    </row>
    <row r="208" spans="1:12" x14ac:dyDescent="0.35">
      <c r="A208" s="2">
        <v>218</v>
      </c>
      <c r="B208" s="2">
        <v>66</v>
      </c>
      <c r="C208" s="2" t="s">
        <v>46</v>
      </c>
      <c r="D208" s="2" t="s">
        <v>119</v>
      </c>
      <c r="E208" s="2" t="s">
        <v>79</v>
      </c>
      <c r="F208" s="3">
        <v>41889</v>
      </c>
      <c r="G208" s="2" t="s">
        <v>13</v>
      </c>
      <c r="H208" s="4">
        <v>41889</v>
      </c>
      <c r="I208" s="5">
        <f t="shared" si="3"/>
        <v>2014</v>
      </c>
      <c r="J208" s="2" t="s">
        <v>37</v>
      </c>
      <c r="K208" s="2">
        <v>207</v>
      </c>
      <c r="L208" s="2">
        <v>8515</v>
      </c>
    </row>
    <row r="209" spans="1:12" x14ac:dyDescent="0.35">
      <c r="A209" s="2">
        <v>219</v>
      </c>
      <c r="B209" s="2">
        <v>2</v>
      </c>
      <c r="C209" s="2" t="s">
        <v>18</v>
      </c>
      <c r="D209" s="2" t="s">
        <v>113</v>
      </c>
      <c r="E209" s="2" t="s">
        <v>76</v>
      </c>
      <c r="F209" s="3">
        <v>41920</v>
      </c>
      <c r="G209" s="2" t="s">
        <v>22</v>
      </c>
      <c r="H209" s="4">
        <v>41920</v>
      </c>
      <c r="I209" s="5">
        <f t="shared" si="3"/>
        <v>2014</v>
      </c>
      <c r="J209" s="2" t="s">
        <v>14</v>
      </c>
      <c r="K209" s="2">
        <v>208</v>
      </c>
      <c r="L209" s="2">
        <v>8517</v>
      </c>
    </row>
    <row r="210" spans="1:12" x14ac:dyDescent="0.35">
      <c r="A210" s="2">
        <v>220</v>
      </c>
      <c r="B210" s="2">
        <v>62</v>
      </c>
      <c r="C210" s="2" t="s">
        <v>18</v>
      </c>
      <c r="D210" s="2" t="s">
        <v>113</v>
      </c>
      <c r="E210" s="2" t="s">
        <v>49</v>
      </c>
      <c r="F210" s="3">
        <v>41923</v>
      </c>
      <c r="G210" s="2" t="s">
        <v>22</v>
      </c>
      <c r="H210" s="4">
        <v>41923</v>
      </c>
      <c r="I210" s="5">
        <f t="shared" si="3"/>
        <v>2014</v>
      </c>
      <c r="J210" s="2" t="s">
        <v>14</v>
      </c>
      <c r="K210" s="2">
        <v>209</v>
      </c>
      <c r="L210" s="2">
        <v>8579</v>
      </c>
    </row>
    <row r="211" spans="1:12" x14ac:dyDescent="0.35">
      <c r="A211" s="2">
        <v>221</v>
      </c>
      <c r="B211" s="2">
        <v>127</v>
      </c>
      <c r="C211" s="2" t="s">
        <v>18</v>
      </c>
      <c r="D211" s="2" t="s">
        <v>113</v>
      </c>
      <c r="E211" s="2" t="s">
        <v>78</v>
      </c>
      <c r="F211" s="3">
        <v>41929</v>
      </c>
      <c r="G211" s="2" t="s">
        <v>22</v>
      </c>
      <c r="H211" s="4">
        <v>41929</v>
      </c>
      <c r="I211" s="5">
        <f t="shared" si="3"/>
        <v>2014</v>
      </c>
      <c r="J211" s="2" t="s">
        <v>14</v>
      </c>
      <c r="K211" s="2">
        <v>210</v>
      </c>
      <c r="L211" s="2">
        <v>8706</v>
      </c>
    </row>
    <row r="212" spans="1:12" x14ac:dyDescent="0.35">
      <c r="A212" s="2">
        <v>222</v>
      </c>
      <c r="B212" s="2">
        <v>22</v>
      </c>
      <c r="C212" s="2" t="s">
        <v>11</v>
      </c>
      <c r="D212" s="2" t="s">
        <v>111</v>
      </c>
      <c r="E212" s="2" t="s">
        <v>64</v>
      </c>
      <c r="F212" s="3">
        <v>41945</v>
      </c>
      <c r="G212" s="2" t="s">
        <v>22</v>
      </c>
      <c r="H212" s="4">
        <v>41945</v>
      </c>
      <c r="I212" s="5">
        <f t="shared" si="3"/>
        <v>2014</v>
      </c>
      <c r="J212" s="2" t="s">
        <v>14</v>
      </c>
      <c r="K212" s="2">
        <v>211</v>
      </c>
      <c r="L212" s="2">
        <v>8728</v>
      </c>
    </row>
    <row r="213" spans="1:12" x14ac:dyDescent="0.35">
      <c r="A213" s="2">
        <v>223</v>
      </c>
      <c r="B213" s="2">
        <v>49</v>
      </c>
      <c r="C213" s="2" t="s">
        <v>11</v>
      </c>
      <c r="D213" s="2" t="s">
        <v>111</v>
      </c>
      <c r="E213" s="2" t="s">
        <v>32</v>
      </c>
      <c r="F213" s="3">
        <v>41949</v>
      </c>
      <c r="G213" s="2" t="s">
        <v>22</v>
      </c>
      <c r="H213" s="4">
        <v>41949</v>
      </c>
      <c r="I213" s="5">
        <f t="shared" si="3"/>
        <v>2014</v>
      </c>
      <c r="J213" s="2" t="s">
        <v>14</v>
      </c>
      <c r="K213" s="2">
        <v>212</v>
      </c>
      <c r="L213" s="2">
        <v>8777</v>
      </c>
    </row>
    <row r="214" spans="1:12" x14ac:dyDescent="0.35">
      <c r="A214" s="2">
        <v>224</v>
      </c>
      <c r="B214" s="2">
        <v>53</v>
      </c>
      <c r="C214" s="2" t="s">
        <v>11</v>
      </c>
      <c r="D214" s="2" t="s">
        <v>111</v>
      </c>
      <c r="E214" s="2" t="s">
        <v>63</v>
      </c>
      <c r="F214" s="3">
        <v>41952</v>
      </c>
      <c r="G214" s="2" t="s">
        <v>22</v>
      </c>
      <c r="H214" s="4">
        <v>41952</v>
      </c>
      <c r="I214" s="5">
        <f t="shared" si="3"/>
        <v>2014</v>
      </c>
      <c r="J214" s="2" t="s">
        <v>14</v>
      </c>
      <c r="K214" s="2">
        <v>213</v>
      </c>
      <c r="L214" s="2">
        <v>8830</v>
      </c>
    </row>
    <row r="215" spans="1:12" x14ac:dyDescent="0.35">
      <c r="A215" s="2">
        <v>225</v>
      </c>
      <c r="B215" s="2">
        <v>66</v>
      </c>
      <c r="C215" s="2" t="s">
        <v>11</v>
      </c>
      <c r="D215" s="2" t="s">
        <v>111</v>
      </c>
      <c r="E215" s="2" t="s">
        <v>26</v>
      </c>
      <c r="F215" s="3">
        <v>41956</v>
      </c>
      <c r="G215" s="2" t="s">
        <v>22</v>
      </c>
      <c r="H215" s="4">
        <v>41956</v>
      </c>
      <c r="I215" s="5">
        <f t="shared" si="3"/>
        <v>2014</v>
      </c>
      <c r="J215" s="2" t="s">
        <v>14</v>
      </c>
      <c r="K215" s="2">
        <v>214</v>
      </c>
      <c r="L215" s="2">
        <v>8896</v>
      </c>
    </row>
    <row r="216" spans="1:12" x14ac:dyDescent="0.35">
      <c r="A216" s="2">
        <v>226</v>
      </c>
      <c r="B216" s="2">
        <v>139</v>
      </c>
      <c r="C216" s="2" t="s">
        <v>11</v>
      </c>
      <c r="D216" s="2" t="s">
        <v>111</v>
      </c>
      <c r="E216" s="2" t="s">
        <v>77</v>
      </c>
      <c r="F216" s="3">
        <v>41959</v>
      </c>
      <c r="G216" s="2" t="s">
        <v>22</v>
      </c>
      <c r="H216" s="4">
        <v>41959</v>
      </c>
      <c r="I216" s="5">
        <f t="shared" si="3"/>
        <v>2014</v>
      </c>
      <c r="J216" s="2" t="s">
        <v>14</v>
      </c>
      <c r="K216" s="2">
        <v>215</v>
      </c>
      <c r="L216" s="2">
        <v>9035</v>
      </c>
    </row>
    <row r="217" spans="1:12" x14ac:dyDescent="0.35">
      <c r="A217" s="2">
        <v>227</v>
      </c>
      <c r="B217" s="2">
        <v>115</v>
      </c>
      <c r="C217" s="2" t="s">
        <v>20</v>
      </c>
      <c r="D217" s="2" t="s">
        <v>114</v>
      </c>
      <c r="E217" s="2" t="s">
        <v>69</v>
      </c>
      <c r="F217" s="3">
        <v>41982</v>
      </c>
      <c r="G217" s="2" t="s">
        <v>22</v>
      </c>
      <c r="H217" s="4">
        <v>41982</v>
      </c>
      <c r="I217" s="5">
        <f t="shared" si="3"/>
        <v>2014</v>
      </c>
      <c r="J217" s="2" t="s">
        <v>54</v>
      </c>
      <c r="K217" s="2">
        <v>216</v>
      </c>
      <c r="L217" s="2">
        <v>9150</v>
      </c>
    </row>
    <row r="218" spans="1:12" x14ac:dyDescent="0.35">
      <c r="A218" s="2">
        <v>228</v>
      </c>
      <c r="B218" s="2">
        <v>141</v>
      </c>
      <c r="C218" s="2" t="s">
        <v>20</v>
      </c>
      <c r="D218" s="2" t="s">
        <v>114</v>
      </c>
      <c r="E218" s="2" t="s">
        <v>69</v>
      </c>
      <c r="F218" s="3">
        <v>41982</v>
      </c>
      <c r="G218" s="2" t="s">
        <v>22</v>
      </c>
      <c r="H218" s="4">
        <v>41982</v>
      </c>
      <c r="I218" s="5">
        <f t="shared" si="3"/>
        <v>2014</v>
      </c>
      <c r="J218" s="2" t="s">
        <v>54</v>
      </c>
      <c r="K218" s="2">
        <v>217</v>
      </c>
      <c r="L218" s="2">
        <v>9291</v>
      </c>
    </row>
    <row r="219" spans="1:12" x14ac:dyDescent="0.35">
      <c r="A219" s="2">
        <v>229</v>
      </c>
      <c r="B219" s="2">
        <v>19</v>
      </c>
      <c r="C219" s="2" t="s">
        <v>20</v>
      </c>
      <c r="D219" s="2" t="s">
        <v>114</v>
      </c>
      <c r="E219" s="2" t="s">
        <v>70</v>
      </c>
      <c r="F219" s="3">
        <v>41990</v>
      </c>
      <c r="G219" s="2" t="s">
        <v>22</v>
      </c>
      <c r="H219" s="4">
        <v>41990</v>
      </c>
      <c r="I219" s="5">
        <f t="shared" si="3"/>
        <v>2014</v>
      </c>
      <c r="J219" s="2" t="s">
        <v>54</v>
      </c>
      <c r="K219" s="2">
        <v>218</v>
      </c>
      <c r="L219" s="2">
        <v>9310</v>
      </c>
    </row>
    <row r="220" spans="1:12" x14ac:dyDescent="0.35">
      <c r="A220" s="2">
        <v>230</v>
      </c>
      <c r="B220" s="2">
        <v>1</v>
      </c>
      <c r="C220" s="2" t="s">
        <v>20</v>
      </c>
      <c r="D220" s="2" t="s">
        <v>114</v>
      </c>
      <c r="E220" s="2" t="s">
        <v>70</v>
      </c>
      <c r="F220" s="3">
        <v>41990</v>
      </c>
      <c r="G220" s="2" t="s">
        <v>22</v>
      </c>
      <c r="H220" s="4">
        <v>41990</v>
      </c>
      <c r="I220" s="5">
        <f t="shared" si="3"/>
        <v>2014</v>
      </c>
      <c r="J220" s="2" t="s">
        <v>54</v>
      </c>
      <c r="K220" s="2">
        <v>219</v>
      </c>
      <c r="L220" s="2">
        <v>9311</v>
      </c>
    </row>
    <row r="221" spans="1:12" x14ac:dyDescent="0.35">
      <c r="A221" s="2">
        <v>231</v>
      </c>
      <c r="B221" s="2">
        <v>169</v>
      </c>
      <c r="C221" s="2" t="s">
        <v>20</v>
      </c>
      <c r="D221" s="2" t="s">
        <v>114</v>
      </c>
      <c r="E221" s="2" t="s">
        <v>66</v>
      </c>
      <c r="F221" s="3">
        <v>41999</v>
      </c>
      <c r="G221" s="2" t="s">
        <v>22</v>
      </c>
      <c r="H221" s="4">
        <v>41999</v>
      </c>
      <c r="I221" s="5">
        <f t="shared" si="3"/>
        <v>2014</v>
      </c>
      <c r="J221" s="2" t="s">
        <v>54</v>
      </c>
      <c r="K221" s="2">
        <v>220</v>
      </c>
      <c r="L221" s="2">
        <v>9480</v>
      </c>
    </row>
    <row r="222" spans="1:12" x14ac:dyDescent="0.35">
      <c r="A222" s="2">
        <v>232</v>
      </c>
      <c r="B222" s="2">
        <v>54</v>
      </c>
      <c r="C222" s="2" t="s">
        <v>20</v>
      </c>
      <c r="D222" s="2" t="s">
        <v>114</v>
      </c>
      <c r="E222" s="2" t="s">
        <v>66</v>
      </c>
      <c r="F222" s="3">
        <v>41999</v>
      </c>
      <c r="G222" s="2" t="s">
        <v>22</v>
      </c>
      <c r="H222" s="4">
        <v>41999</v>
      </c>
      <c r="I222" s="5">
        <f t="shared" si="3"/>
        <v>2014</v>
      </c>
      <c r="J222" s="2" t="s">
        <v>54</v>
      </c>
      <c r="K222" s="2">
        <v>221</v>
      </c>
      <c r="L222" s="2">
        <v>9534</v>
      </c>
    </row>
    <row r="223" spans="1:12" x14ac:dyDescent="0.35">
      <c r="A223" s="2">
        <v>233</v>
      </c>
      <c r="B223" s="2">
        <v>147</v>
      </c>
      <c r="C223" s="2" t="s">
        <v>20</v>
      </c>
      <c r="D223" s="2" t="s">
        <v>114</v>
      </c>
      <c r="E223" s="2" t="s">
        <v>67</v>
      </c>
      <c r="F223" s="3">
        <v>42010</v>
      </c>
      <c r="G223" s="2" t="s">
        <v>28</v>
      </c>
      <c r="H223" s="4">
        <v>42010</v>
      </c>
      <c r="I223" s="5">
        <f t="shared" si="3"/>
        <v>2015</v>
      </c>
      <c r="J223" s="2" t="s">
        <v>54</v>
      </c>
      <c r="K223" s="2">
        <v>222</v>
      </c>
      <c r="L223" s="2">
        <v>9681</v>
      </c>
    </row>
    <row r="224" spans="1:12" x14ac:dyDescent="0.35">
      <c r="A224" s="2">
        <v>234</v>
      </c>
      <c r="B224" s="2">
        <v>46</v>
      </c>
      <c r="C224" s="2" t="s">
        <v>20</v>
      </c>
      <c r="D224" s="2" t="s">
        <v>114</v>
      </c>
      <c r="E224" s="2" t="s">
        <v>67</v>
      </c>
      <c r="F224" s="3">
        <v>42010</v>
      </c>
      <c r="G224" s="2" t="s">
        <v>28</v>
      </c>
      <c r="H224" s="4">
        <v>42010</v>
      </c>
      <c r="I224" s="5">
        <f t="shared" si="3"/>
        <v>2015</v>
      </c>
      <c r="J224" s="2" t="s">
        <v>54</v>
      </c>
      <c r="K224" s="2">
        <v>223</v>
      </c>
      <c r="L224" s="2">
        <v>9727</v>
      </c>
    </row>
    <row r="225" spans="1:12" x14ac:dyDescent="0.35">
      <c r="A225" s="2">
        <v>235</v>
      </c>
      <c r="B225" s="2">
        <v>9</v>
      </c>
      <c r="C225" s="2" t="s">
        <v>20</v>
      </c>
      <c r="D225" s="2" t="s">
        <v>114</v>
      </c>
      <c r="E225" s="2" t="s">
        <v>66</v>
      </c>
      <c r="F225" s="3">
        <v>42022</v>
      </c>
      <c r="G225" s="2" t="s">
        <v>28</v>
      </c>
      <c r="H225" s="4">
        <v>42022</v>
      </c>
      <c r="I225" s="5">
        <f t="shared" si="3"/>
        <v>2015</v>
      </c>
      <c r="J225" s="2" t="s">
        <v>14</v>
      </c>
      <c r="K225" s="2">
        <v>224</v>
      </c>
      <c r="L225" s="2">
        <v>9736</v>
      </c>
    </row>
    <row r="226" spans="1:12" x14ac:dyDescent="0.35">
      <c r="A226" s="2">
        <v>236</v>
      </c>
      <c r="B226" s="2">
        <v>4</v>
      </c>
      <c r="C226" s="2" t="s">
        <v>46</v>
      </c>
      <c r="D226" s="2" t="s">
        <v>119</v>
      </c>
      <c r="E226" s="2" t="s">
        <v>70</v>
      </c>
      <c r="F226" s="3">
        <v>42024</v>
      </c>
      <c r="G226" s="2" t="s">
        <v>28</v>
      </c>
      <c r="H226" s="4">
        <v>42024</v>
      </c>
      <c r="I226" s="5">
        <f t="shared" si="3"/>
        <v>2015</v>
      </c>
      <c r="J226" s="2" t="s">
        <v>14</v>
      </c>
      <c r="K226" s="2">
        <v>225</v>
      </c>
      <c r="L226" s="2">
        <v>9740</v>
      </c>
    </row>
    <row r="227" spans="1:12" x14ac:dyDescent="0.35">
      <c r="A227" s="2">
        <v>237</v>
      </c>
      <c r="B227" s="2">
        <v>3</v>
      </c>
      <c r="C227" s="2" t="s">
        <v>20</v>
      </c>
      <c r="D227" s="2" t="s">
        <v>114</v>
      </c>
      <c r="E227" s="2" t="s">
        <v>67</v>
      </c>
      <c r="F227" s="3">
        <v>42030</v>
      </c>
      <c r="G227" s="2" t="s">
        <v>28</v>
      </c>
      <c r="H227" s="4">
        <v>42030</v>
      </c>
      <c r="I227" s="5">
        <f t="shared" si="3"/>
        <v>2015</v>
      </c>
      <c r="J227" s="2" t="s">
        <v>14</v>
      </c>
      <c r="K227" s="2">
        <v>226</v>
      </c>
      <c r="L227" s="2">
        <v>9743</v>
      </c>
    </row>
    <row r="228" spans="1:12" x14ac:dyDescent="0.35">
      <c r="A228" s="2">
        <v>238</v>
      </c>
      <c r="B228" s="2">
        <v>8</v>
      </c>
      <c r="C228" s="2" t="s">
        <v>46</v>
      </c>
      <c r="D228" s="2" t="s">
        <v>119</v>
      </c>
      <c r="E228" s="2" t="s">
        <v>68</v>
      </c>
      <c r="F228" s="3">
        <v>42034</v>
      </c>
      <c r="G228" s="2" t="s">
        <v>28</v>
      </c>
      <c r="H228" s="4">
        <v>42034</v>
      </c>
      <c r="I228" s="5">
        <f t="shared" si="3"/>
        <v>2015</v>
      </c>
      <c r="J228" s="2" t="s">
        <v>14</v>
      </c>
      <c r="K228" s="2">
        <v>227</v>
      </c>
      <c r="L228" s="2">
        <v>9751</v>
      </c>
    </row>
    <row r="229" spans="1:12" x14ac:dyDescent="0.35">
      <c r="A229" s="2">
        <v>239</v>
      </c>
      <c r="B229" s="2">
        <v>107</v>
      </c>
      <c r="C229" s="2" t="s">
        <v>16</v>
      </c>
      <c r="D229" s="2" t="s">
        <v>112</v>
      </c>
      <c r="E229" s="2" t="s">
        <v>69</v>
      </c>
      <c r="F229" s="3">
        <v>42050</v>
      </c>
      <c r="G229" s="2" t="s">
        <v>28</v>
      </c>
      <c r="H229" s="4">
        <v>42050</v>
      </c>
      <c r="I229" s="5">
        <f t="shared" si="3"/>
        <v>2015</v>
      </c>
      <c r="J229" s="2" t="s">
        <v>14</v>
      </c>
      <c r="K229" s="2">
        <v>228</v>
      </c>
      <c r="L229" s="2">
        <v>9858</v>
      </c>
    </row>
    <row r="230" spans="1:12" x14ac:dyDescent="0.35">
      <c r="A230" s="2">
        <v>240</v>
      </c>
      <c r="B230" s="2">
        <v>46</v>
      </c>
      <c r="C230" s="2" t="s">
        <v>30</v>
      </c>
      <c r="D230" s="2" t="s">
        <v>116</v>
      </c>
      <c r="E230" s="2" t="s">
        <v>66</v>
      </c>
      <c r="F230" s="3">
        <v>42057</v>
      </c>
      <c r="G230" s="2" t="s">
        <v>28</v>
      </c>
      <c r="H230" s="4">
        <v>42057</v>
      </c>
      <c r="I230" s="5">
        <f t="shared" si="3"/>
        <v>2015</v>
      </c>
      <c r="J230" s="2" t="s">
        <v>14</v>
      </c>
      <c r="K230" s="2">
        <v>229</v>
      </c>
      <c r="L230" s="2">
        <v>9904</v>
      </c>
    </row>
    <row r="231" spans="1:12" x14ac:dyDescent="0.35">
      <c r="A231" s="2">
        <v>241</v>
      </c>
      <c r="B231" s="2">
        <v>33</v>
      </c>
      <c r="C231" s="2" t="s">
        <v>88</v>
      </c>
      <c r="D231" s="2" t="s">
        <v>123</v>
      </c>
      <c r="E231" s="2" t="s">
        <v>68</v>
      </c>
      <c r="F231" s="3">
        <v>42063</v>
      </c>
      <c r="G231" s="2" t="s">
        <v>28</v>
      </c>
      <c r="H231" s="4">
        <v>42063</v>
      </c>
      <c r="I231" s="5">
        <f t="shared" si="3"/>
        <v>2015</v>
      </c>
      <c r="J231" s="2" t="s">
        <v>14</v>
      </c>
      <c r="K231" s="2">
        <v>230</v>
      </c>
      <c r="L231" s="2">
        <v>9937</v>
      </c>
    </row>
    <row r="232" spans="1:12" x14ac:dyDescent="0.35">
      <c r="A232" s="2">
        <v>242</v>
      </c>
      <c r="B232" s="2">
        <v>33</v>
      </c>
      <c r="C232" s="2" t="s">
        <v>18</v>
      </c>
      <c r="D232" s="2" t="s">
        <v>113</v>
      </c>
      <c r="E232" s="2" t="s">
        <v>68</v>
      </c>
      <c r="F232" s="3">
        <v>42069</v>
      </c>
      <c r="G232" s="2" t="s">
        <v>28</v>
      </c>
      <c r="H232" s="4">
        <v>42069</v>
      </c>
      <c r="I232" s="5">
        <f t="shared" si="3"/>
        <v>2015</v>
      </c>
      <c r="J232" s="2" t="s">
        <v>14</v>
      </c>
      <c r="K232" s="2">
        <v>231</v>
      </c>
      <c r="L232" s="2">
        <v>9970</v>
      </c>
    </row>
    <row r="233" spans="1:12" x14ac:dyDescent="0.35">
      <c r="A233" s="2">
        <v>243</v>
      </c>
      <c r="B233" s="2">
        <v>44</v>
      </c>
      <c r="C233" s="2" t="s">
        <v>47</v>
      </c>
      <c r="D233" s="2" t="s">
        <v>120</v>
      </c>
      <c r="E233" s="2" t="s">
        <v>82</v>
      </c>
      <c r="F233" s="3">
        <v>42073</v>
      </c>
      <c r="G233" s="2" t="s">
        <v>28</v>
      </c>
      <c r="H233" s="4">
        <v>42073</v>
      </c>
      <c r="I233" s="5">
        <f t="shared" si="3"/>
        <v>2015</v>
      </c>
      <c r="J233" s="2" t="s">
        <v>14</v>
      </c>
      <c r="K233" s="2">
        <v>232</v>
      </c>
      <c r="L233" s="2">
        <v>10014</v>
      </c>
    </row>
    <row r="234" spans="1:12" x14ac:dyDescent="0.35">
      <c r="A234" s="2">
        <v>244</v>
      </c>
      <c r="B234" s="2">
        <v>38</v>
      </c>
      <c r="C234" s="2" t="s">
        <v>33</v>
      </c>
      <c r="D234" s="2" t="s">
        <v>117</v>
      </c>
      <c r="E234" s="2" t="s">
        <v>83</v>
      </c>
      <c r="F234" s="3">
        <v>42077</v>
      </c>
      <c r="G234" s="2" t="s">
        <v>28</v>
      </c>
      <c r="H234" s="4">
        <v>42077</v>
      </c>
      <c r="I234" s="5">
        <f t="shared" si="3"/>
        <v>2015</v>
      </c>
      <c r="J234" s="2" t="s">
        <v>14</v>
      </c>
      <c r="K234" s="2">
        <v>233</v>
      </c>
      <c r="L234" s="2">
        <v>10052</v>
      </c>
    </row>
    <row r="235" spans="1:12" x14ac:dyDescent="0.35">
      <c r="A235" s="2">
        <v>245</v>
      </c>
      <c r="B235" s="2">
        <v>3</v>
      </c>
      <c r="C235" s="2" t="s">
        <v>29</v>
      </c>
      <c r="D235" s="2" t="s">
        <v>115</v>
      </c>
      <c r="E235" s="2" t="s">
        <v>66</v>
      </c>
      <c r="F235" s="3">
        <v>42082</v>
      </c>
      <c r="G235" s="2" t="s">
        <v>28</v>
      </c>
      <c r="H235" s="4">
        <v>42082</v>
      </c>
      <c r="I235" s="5">
        <f t="shared" si="3"/>
        <v>2015</v>
      </c>
      <c r="J235" s="2" t="s">
        <v>14</v>
      </c>
      <c r="K235" s="2">
        <v>234</v>
      </c>
      <c r="L235" s="2">
        <v>10055</v>
      </c>
    </row>
    <row r="236" spans="1:12" x14ac:dyDescent="0.35">
      <c r="A236" s="2">
        <v>246</v>
      </c>
      <c r="B236" s="2">
        <v>1</v>
      </c>
      <c r="C236" s="2" t="s">
        <v>20</v>
      </c>
      <c r="D236" s="2" t="s">
        <v>114</v>
      </c>
      <c r="E236" s="2" t="s">
        <v>67</v>
      </c>
      <c r="F236" s="3">
        <v>42089</v>
      </c>
      <c r="G236" s="2" t="s">
        <v>28</v>
      </c>
      <c r="H236" s="4">
        <v>42089</v>
      </c>
      <c r="I236" s="5">
        <f t="shared" si="3"/>
        <v>2015</v>
      </c>
      <c r="J236" s="2" t="s">
        <v>14</v>
      </c>
      <c r="K236" s="2">
        <v>235</v>
      </c>
      <c r="L236" s="2">
        <v>10056</v>
      </c>
    </row>
    <row r="237" spans="1:12" x14ac:dyDescent="0.35">
      <c r="A237" s="2">
        <v>247</v>
      </c>
      <c r="B237" s="2">
        <v>14</v>
      </c>
      <c r="C237" s="2" t="s">
        <v>29</v>
      </c>
      <c r="D237" s="2" t="s">
        <v>115</v>
      </c>
      <c r="E237" s="2" t="s">
        <v>85</v>
      </c>
      <c r="F237" s="3">
        <v>42165</v>
      </c>
      <c r="G237" s="2" t="s">
        <v>35</v>
      </c>
      <c r="H237" s="4">
        <v>42165</v>
      </c>
      <c r="I237" s="5">
        <f t="shared" si="3"/>
        <v>2015</v>
      </c>
      <c r="J237" s="2" t="s">
        <v>54</v>
      </c>
      <c r="K237" s="2">
        <v>236</v>
      </c>
      <c r="L237" s="2">
        <v>10070</v>
      </c>
    </row>
    <row r="238" spans="1:12" x14ac:dyDescent="0.35">
      <c r="A238" s="2">
        <v>248</v>
      </c>
      <c r="B238" s="2">
        <v>1</v>
      </c>
      <c r="C238" s="2" t="s">
        <v>29</v>
      </c>
      <c r="D238" s="2" t="s">
        <v>115</v>
      </c>
      <c r="E238" s="2" t="s">
        <v>27</v>
      </c>
      <c r="F238" s="3">
        <v>42173</v>
      </c>
      <c r="G238" s="2" t="s">
        <v>35</v>
      </c>
      <c r="H238" s="4">
        <v>42173</v>
      </c>
      <c r="I238" s="5">
        <f t="shared" si="3"/>
        <v>2015</v>
      </c>
      <c r="J238" s="2" t="s">
        <v>14</v>
      </c>
      <c r="K238" s="2">
        <v>237</v>
      </c>
      <c r="L238" s="2">
        <v>10071</v>
      </c>
    </row>
    <row r="239" spans="1:12" x14ac:dyDescent="0.35">
      <c r="A239" s="2">
        <v>249</v>
      </c>
      <c r="B239" s="2">
        <v>23</v>
      </c>
      <c r="C239" s="2" t="s">
        <v>29</v>
      </c>
      <c r="D239" s="2" t="s">
        <v>115</v>
      </c>
      <c r="E239" s="2" t="s">
        <v>27</v>
      </c>
      <c r="F239" s="3">
        <v>42176</v>
      </c>
      <c r="G239" s="2" t="s">
        <v>35</v>
      </c>
      <c r="H239" s="4">
        <v>42176</v>
      </c>
      <c r="I239" s="5">
        <f t="shared" si="3"/>
        <v>2015</v>
      </c>
      <c r="J239" s="2" t="s">
        <v>14</v>
      </c>
      <c r="K239" s="2">
        <v>238</v>
      </c>
      <c r="L239" s="2">
        <v>10094</v>
      </c>
    </row>
    <row r="240" spans="1:12" x14ac:dyDescent="0.35">
      <c r="A240" s="2">
        <v>250</v>
      </c>
      <c r="B240" s="2">
        <v>25</v>
      </c>
      <c r="C240" s="2" t="s">
        <v>29</v>
      </c>
      <c r="D240" s="2" t="s">
        <v>115</v>
      </c>
      <c r="E240" s="2" t="s">
        <v>27</v>
      </c>
      <c r="F240" s="3">
        <v>42179</v>
      </c>
      <c r="G240" s="2" t="s">
        <v>35</v>
      </c>
      <c r="H240" s="4">
        <v>42179</v>
      </c>
      <c r="I240" s="5">
        <f t="shared" si="3"/>
        <v>2015</v>
      </c>
      <c r="J240" s="2" t="s">
        <v>14</v>
      </c>
      <c r="K240" s="2">
        <v>239</v>
      </c>
      <c r="L240" s="2">
        <v>10119</v>
      </c>
    </row>
    <row r="241" spans="1:12" x14ac:dyDescent="0.35">
      <c r="A241" s="2">
        <v>251</v>
      </c>
      <c r="B241" s="2">
        <v>103</v>
      </c>
      <c r="C241" s="2" t="s">
        <v>11</v>
      </c>
      <c r="D241" s="2" t="s">
        <v>111</v>
      </c>
      <c r="E241" s="2" t="s">
        <v>89</v>
      </c>
      <c r="F241" s="3">
        <v>42228</v>
      </c>
      <c r="G241" s="2" t="s">
        <v>13</v>
      </c>
      <c r="H241" s="4">
        <v>42228</v>
      </c>
      <c r="I241" s="5">
        <f t="shared" si="3"/>
        <v>2015</v>
      </c>
      <c r="J241" s="2" t="s">
        <v>54</v>
      </c>
      <c r="K241" s="2">
        <v>240</v>
      </c>
      <c r="L241" s="2">
        <v>10222</v>
      </c>
    </row>
    <row r="242" spans="1:12" x14ac:dyDescent="0.35">
      <c r="A242" s="2">
        <v>252</v>
      </c>
      <c r="B242" s="2">
        <v>3</v>
      </c>
      <c r="C242" s="2" t="s">
        <v>11</v>
      </c>
      <c r="D242" s="2" t="s">
        <v>111</v>
      </c>
      <c r="E242" s="2" t="s">
        <v>89</v>
      </c>
      <c r="F242" s="3">
        <v>42228</v>
      </c>
      <c r="G242" s="2" t="s">
        <v>13</v>
      </c>
      <c r="H242" s="4">
        <v>42228</v>
      </c>
      <c r="I242" s="5">
        <f t="shared" si="3"/>
        <v>2015</v>
      </c>
      <c r="J242" s="2" t="s">
        <v>54</v>
      </c>
      <c r="K242" s="2">
        <v>241</v>
      </c>
      <c r="L242" s="2">
        <v>10225</v>
      </c>
    </row>
    <row r="243" spans="1:12" x14ac:dyDescent="0.35">
      <c r="A243" s="2">
        <v>253</v>
      </c>
      <c r="B243" s="2">
        <v>78</v>
      </c>
      <c r="C243" s="2" t="s">
        <v>11</v>
      </c>
      <c r="D243" s="2" t="s">
        <v>111</v>
      </c>
      <c r="E243" s="2" t="s">
        <v>90</v>
      </c>
      <c r="F243" s="3">
        <v>42236</v>
      </c>
      <c r="G243" s="2" t="s">
        <v>13</v>
      </c>
      <c r="H243" s="4">
        <v>42236</v>
      </c>
      <c r="I243" s="5">
        <f t="shared" si="3"/>
        <v>2015</v>
      </c>
      <c r="J243" s="2" t="s">
        <v>54</v>
      </c>
      <c r="K243" s="2">
        <v>242</v>
      </c>
      <c r="L243" s="2">
        <v>10303</v>
      </c>
    </row>
    <row r="244" spans="1:12" x14ac:dyDescent="0.35">
      <c r="A244" s="2">
        <v>254</v>
      </c>
      <c r="B244" s="2">
        <v>10</v>
      </c>
      <c r="C244" s="2" t="s">
        <v>11</v>
      </c>
      <c r="D244" s="2" t="s">
        <v>111</v>
      </c>
      <c r="E244" s="2" t="s">
        <v>90</v>
      </c>
      <c r="F244" s="3">
        <v>42236</v>
      </c>
      <c r="G244" s="2" t="s">
        <v>13</v>
      </c>
      <c r="H244" s="4">
        <v>42236</v>
      </c>
      <c r="I244" s="5">
        <f t="shared" si="3"/>
        <v>2015</v>
      </c>
      <c r="J244" s="2" t="s">
        <v>54</v>
      </c>
      <c r="K244" s="2">
        <v>243</v>
      </c>
      <c r="L244" s="2">
        <v>10313</v>
      </c>
    </row>
    <row r="245" spans="1:12" x14ac:dyDescent="0.35">
      <c r="A245" s="2">
        <v>255</v>
      </c>
      <c r="B245" s="2">
        <v>18</v>
      </c>
      <c r="C245" s="2" t="s">
        <v>11</v>
      </c>
      <c r="D245" s="2" t="s">
        <v>111</v>
      </c>
      <c r="E245" s="2" t="s">
        <v>91</v>
      </c>
      <c r="F245" s="3">
        <v>42244</v>
      </c>
      <c r="G245" s="2" t="s">
        <v>13</v>
      </c>
      <c r="H245" s="4">
        <v>42244</v>
      </c>
      <c r="I245" s="5">
        <f t="shared" si="3"/>
        <v>2015</v>
      </c>
      <c r="J245" s="2" t="s">
        <v>54</v>
      </c>
      <c r="K245" s="2">
        <v>244</v>
      </c>
      <c r="L245" s="2">
        <v>10331</v>
      </c>
    </row>
    <row r="246" spans="1:12" x14ac:dyDescent="0.35">
      <c r="A246" s="2">
        <v>256</v>
      </c>
      <c r="B246" s="2">
        <v>21</v>
      </c>
      <c r="C246" s="2" t="s">
        <v>11</v>
      </c>
      <c r="D246" s="2" t="s">
        <v>111</v>
      </c>
      <c r="E246" s="2" t="s">
        <v>91</v>
      </c>
      <c r="F246" s="3">
        <v>42244</v>
      </c>
      <c r="G246" s="2" t="s">
        <v>13</v>
      </c>
      <c r="H246" s="4">
        <v>42244</v>
      </c>
      <c r="I246" s="5">
        <f t="shared" si="3"/>
        <v>2015</v>
      </c>
      <c r="J246" s="2" t="s">
        <v>54</v>
      </c>
      <c r="K246" s="2">
        <v>245</v>
      </c>
      <c r="L246" s="2">
        <v>10352</v>
      </c>
    </row>
    <row r="247" spans="1:12" x14ac:dyDescent="0.35">
      <c r="A247" s="2">
        <v>257</v>
      </c>
      <c r="B247" s="2">
        <v>43</v>
      </c>
      <c r="C247" s="2" t="s">
        <v>30</v>
      </c>
      <c r="D247" s="2" t="s">
        <v>116</v>
      </c>
      <c r="E247" s="2" t="s">
        <v>78</v>
      </c>
      <c r="F247" s="3">
        <v>42279</v>
      </c>
      <c r="G247" s="2" t="s">
        <v>22</v>
      </c>
      <c r="H247" s="4">
        <v>42279</v>
      </c>
      <c r="I247" s="5">
        <f t="shared" si="3"/>
        <v>2015</v>
      </c>
      <c r="J247" s="2" t="s">
        <v>37</v>
      </c>
      <c r="K247" s="2">
        <v>246</v>
      </c>
      <c r="L247" s="2">
        <v>10395</v>
      </c>
    </row>
    <row r="248" spans="1:12" x14ac:dyDescent="0.35">
      <c r="A248" s="2">
        <v>258</v>
      </c>
      <c r="B248" s="2">
        <v>1</v>
      </c>
      <c r="C248" s="2" t="s">
        <v>30</v>
      </c>
      <c r="D248" s="2" t="s">
        <v>116</v>
      </c>
      <c r="E248" s="2" t="s">
        <v>64</v>
      </c>
      <c r="F248" s="3">
        <v>42282</v>
      </c>
      <c r="G248" s="2" t="s">
        <v>22</v>
      </c>
      <c r="H248" s="4">
        <v>42282</v>
      </c>
      <c r="I248" s="5">
        <f t="shared" si="3"/>
        <v>2015</v>
      </c>
      <c r="J248" s="2" t="s">
        <v>37</v>
      </c>
      <c r="K248" s="2">
        <v>247</v>
      </c>
      <c r="L248" s="2">
        <v>10396</v>
      </c>
    </row>
    <row r="249" spans="1:12" x14ac:dyDescent="0.35">
      <c r="A249" s="2">
        <v>259</v>
      </c>
      <c r="B249" s="2">
        <v>11</v>
      </c>
      <c r="C249" s="2" t="s">
        <v>30</v>
      </c>
      <c r="D249" s="2" t="s">
        <v>116</v>
      </c>
      <c r="E249" s="2" t="s">
        <v>80</v>
      </c>
      <c r="F249" s="3">
        <v>42288</v>
      </c>
      <c r="G249" s="2" t="s">
        <v>22</v>
      </c>
      <c r="H249" s="4">
        <v>42288</v>
      </c>
      <c r="I249" s="5">
        <f t="shared" si="3"/>
        <v>2015</v>
      </c>
      <c r="J249" s="2" t="s">
        <v>14</v>
      </c>
      <c r="K249" s="2">
        <v>248</v>
      </c>
      <c r="L249" s="2">
        <v>10407</v>
      </c>
    </row>
    <row r="250" spans="1:12" x14ac:dyDescent="0.35">
      <c r="A250" s="2">
        <v>260</v>
      </c>
      <c r="B250" s="2">
        <v>12</v>
      </c>
      <c r="C250" s="2" t="s">
        <v>30</v>
      </c>
      <c r="D250" s="2" t="s">
        <v>116</v>
      </c>
      <c r="E250" s="2" t="s">
        <v>65</v>
      </c>
      <c r="F250" s="3">
        <v>42291</v>
      </c>
      <c r="G250" s="2" t="s">
        <v>22</v>
      </c>
      <c r="H250" s="4">
        <v>42291</v>
      </c>
      <c r="I250" s="5">
        <f t="shared" si="3"/>
        <v>2015</v>
      </c>
      <c r="J250" s="2" t="s">
        <v>14</v>
      </c>
      <c r="K250" s="2">
        <v>249</v>
      </c>
      <c r="L250" s="2">
        <v>10419</v>
      </c>
    </row>
    <row r="251" spans="1:12" x14ac:dyDescent="0.35">
      <c r="A251" s="2">
        <v>261</v>
      </c>
      <c r="B251" s="2">
        <v>77</v>
      </c>
      <c r="C251" s="2" t="s">
        <v>30</v>
      </c>
      <c r="D251" s="2" t="s">
        <v>116</v>
      </c>
      <c r="E251" s="2" t="s">
        <v>24</v>
      </c>
      <c r="F251" s="3">
        <v>42295</v>
      </c>
      <c r="G251" s="2" t="s">
        <v>22</v>
      </c>
      <c r="H251" s="4">
        <v>42295</v>
      </c>
      <c r="I251" s="5">
        <f t="shared" si="3"/>
        <v>2015</v>
      </c>
      <c r="J251" s="2" t="s">
        <v>14</v>
      </c>
      <c r="K251" s="2">
        <v>250</v>
      </c>
      <c r="L251" s="2">
        <v>10496</v>
      </c>
    </row>
    <row r="252" spans="1:12" x14ac:dyDescent="0.35">
      <c r="A252" s="2">
        <v>262</v>
      </c>
      <c r="B252" s="2">
        <v>138</v>
      </c>
      <c r="C252" s="2" t="s">
        <v>30</v>
      </c>
      <c r="D252" s="2" t="s">
        <v>116</v>
      </c>
      <c r="E252" s="2" t="s">
        <v>42</v>
      </c>
      <c r="F252" s="3">
        <v>42299</v>
      </c>
      <c r="G252" s="2" t="s">
        <v>22</v>
      </c>
      <c r="H252" s="4">
        <v>42299</v>
      </c>
      <c r="I252" s="5">
        <f t="shared" si="3"/>
        <v>2015</v>
      </c>
      <c r="J252" s="2" t="s">
        <v>14</v>
      </c>
      <c r="K252" s="2">
        <v>251</v>
      </c>
      <c r="L252" s="2">
        <v>10634</v>
      </c>
    </row>
    <row r="253" spans="1:12" x14ac:dyDescent="0.35">
      <c r="A253" s="2">
        <v>263</v>
      </c>
      <c r="B253" s="2">
        <v>7</v>
      </c>
      <c r="C253" s="2" t="s">
        <v>30</v>
      </c>
      <c r="D253" s="2" t="s">
        <v>116</v>
      </c>
      <c r="E253" s="2" t="s">
        <v>50</v>
      </c>
      <c r="F253" s="3">
        <v>42302</v>
      </c>
      <c r="G253" s="2" t="s">
        <v>22</v>
      </c>
      <c r="H253" s="4">
        <v>42302</v>
      </c>
      <c r="I253" s="5">
        <f t="shared" si="3"/>
        <v>2015</v>
      </c>
      <c r="J253" s="2" t="s">
        <v>14</v>
      </c>
      <c r="K253" s="2">
        <v>252</v>
      </c>
      <c r="L253" s="2">
        <v>10641</v>
      </c>
    </row>
    <row r="254" spans="1:12" x14ac:dyDescent="0.35">
      <c r="A254" s="2">
        <v>264</v>
      </c>
      <c r="B254" s="2">
        <v>1</v>
      </c>
      <c r="C254" s="2" t="s">
        <v>30</v>
      </c>
      <c r="D254" s="2" t="s">
        <v>116</v>
      </c>
      <c r="E254" s="2" t="s">
        <v>23</v>
      </c>
      <c r="F254" s="3">
        <v>42313</v>
      </c>
      <c r="G254" s="2" t="s">
        <v>22</v>
      </c>
      <c r="H254" s="4">
        <v>42313</v>
      </c>
      <c r="I254" s="5">
        <f t="shared" si="3"/>
        <v>2015</v>
      </c>
      <c r="J254" s="2" t="s">
        <v>54</v>
      </c>
      <c r="K254" s="2">
        <v>253</v>
      </c>
      <c r="L254" s="2">
        <v>10642</v>
      </c>
    </row>
    <row r="255" spans="1:12" x14ac:dyDescent="0.35">
      <c r="A255" s="2">
        <v>265</v>
      </c>
      <c r="B255" s="2">
        <v>29</v>
      </c>
      <c r="C255" s="2" t="s">
        <v>30</v>
      </c>
      <c r="D255" s="2" t="s">
        <v>116</v>
      </c>
      <c r="E255" s="2" t="s">
        <v>23</v>
      </c>
      <c r="F255" s="3">
        <v>42313</v>
      </c>
      <c r="G255" s="2" t="s">
        <v>22</v>
      </c>
      <c r="H255" s="4">
        <v>42313</v>
      </c>
      <c r="I255" s="5">
        <f t="shared" si="3"/>
        <v>2015</v>
      </c>
      <c r="J255" s="2" t="s">
        <v>54</v>
      </c>
      <c r="K255" s="2">
        <v>254</v>
      </c>
      <c r="L255" s="2">
        <v>10671</v>
      </c>
    </row>
    <row r="256" spans="1:12" x14ac:dyDescent="0.35">
      <c r="A256" s="2">
        <v>267</v>
      </c>
      <c r="B256" s="2">
        <v>22</v>
      </c>
      <c r="C256" s="2" t="s">
        <v>30</v>
      </c>
      <c r="D256" s="2" t="s">
        <v>116</v>
      </c>
      <c r="E256" s="2" t="s">
        <v>25</v>
      </c>
      <c r="F256" s="3">
        <v>42333</v>
      </c>
      <c r="G256" s="2" t="s">
        <v>22</v>
      </c>
      <c r="H256" s="4">
        <v>42333</v>
      </c>
      <c r="I256" s="5">
        <f t="shared" si="3"/>
        <v>2015</v>
      </c>
      <c r="J256" s="2" t="s">
        <v>54</v>
      </c>
      <c r="K256" s="2">
        <v>255</v>
      </c>
      <c r="L256" s="2">
        <v>10693</v>
      </c>
    </row>
    <row r="257" spans="1:12" x14ac:dyDescent="0.35">
      <c r="A257" s="2">
        <v>268</v>
      </c>
      <c r="B257" s="2">
        <v>16</v>
      </c>
      <c r="C257" s="2" t="s">
        <v>30</v>
      </c>
      <c r="D257" s="2" t="s">
        <v>116</v>
      </c>
      <c r="E257" s="2" t="s">
        <v>25</v>
      </c>
      <c r="F257" s="3">
        <v>42333</v>
      </c>
      <c r="G257" s="2" t="s">
        <v>22</v>
      </c>
      <c r="H257" s="4">
        <v>42333</v>
      </c>
      <c r="I257" s="5">
        <f t="shared" si="3"/>
        <v>2015</v>
      </c>
      <c r="J257" s="2" t="s">
        <v>54</v>
      </c>
      <c r="K257" s="2">
        <v>256</v>
      </c>
      <c r="L257" s="2">
        <v>10709</v>
      </c>
    </row>
    <row r="258" spans="1:12" x14ac:dyDescent="0.35">
      <c r="A258" s="2">
        <v>269</v>
      </c>
      <c r="B258" s="2">
        <v>44</v>
      </c>
      <c r="C258" s="2" t="s">
        <v>30</v>
      </c>
      <c r="D258" s="2" t="s">
        <v>116</v>
      </c>
      <c r="E258" s="2" t="s">
        <v>49</v>
      </c>
      <c r="F258" s="3">
        <v>42341</v>
      </c>
      <c r="G258" s="2" t="s">
        <v>22</v>
      </c>
      <c r="H258" s="4">
        <v>42341</v>
      </c>
      <c r="I258" s="5">
        <f t="shared" si="3"/>
        <v>2015</v>
      </c>
      <c r="J258" s="2" t="s">
        <v>54</v>
      </c>
      <c r="K258" s="2">
        <v>257</v>
      </c>
      <c r="L258" s="2">
        <v>10753</v>
      </c>
    </row>
    <row r="259" spans="1:12" x14ac:dyDescent="0.35">
      <c r="A259" s="2">
        <v>270</v>
      </c>
      <c r="B259" s="2">
        <v>88</v>
      </c>
      <c r="C259" s="2" t="s">
        <v>30</v>
      </c>
      <c r="D259" s="2" t="s">
        <v>116</v>
      </c>
      <c r="E259" s="2" t="s">
        <v>49</v>
      </c>
      <c r="F259" s="3">
        <v>42341</v>
      </c>
      <c r="G259" s="2" t="s">
        <v>22</v>
      </c>
      <c r="H259" s="4">
        <v>42341</v>
      </c>
      <c r="I259" s="5">
        <f t="shared" ref="I259:I322" si="4">YEAR(F259)</f>
        <v>2015</v>
      </c>
      <c r="J259" s="2" t="s">
        <v>54</v>
      </c>
      <c r="K259" s="2">
        <v>258</v>
      </c>
      <c r="L259" s="2">
        <v>10841</v>
      </c>
    </row>
    <row r="260" spans="1:12" x14ac:dyDescent="0.35">
      <c r="A260" s="2">
        <v>271</v>
      </c>
      <c r="B260" s="2">
        <v>91</v>
      </c>
      <c r="C260" s="2" t="s">
        <v>20</v>
      </c>
      <c r="D260" s="2" t="s">
        <v>114</v>
      </c>
      <c r="E260" s="2" t="s">
        <v>68</v>
      </c>
      <c r="F260" s="3">
        <v>42381</v>
      </c>
      <c r="G260" s="2" t="s">
        <v>28</v>
      </c>
      <c r="H260" s="4">
        <v>42381</v>
      </c>
      <c r="I260" s="5">
        <f t="shared" si="4"/>
        <v>2016</v>
      </c>
      <c r="J260" s="2" t="s">
        <v>14</v>
      </c>
      <c r="K260" s="2">
        <v>259</v>
      </c>
      <c r="L260" s="2">
        <v>10932</v>
      </c>
    </row>
    <row r="261" spans="1:12" x14ac:dyDescent="0.35">
      <c r="A261" s="2">
        <v>272</v>
      </c>
      <c r="B261" s="2">
        <v>59</v>
      </c>
      <c r="C261" s="2" t="s">
        <v>20</v>
      </c>
      <c r="D261" s="2" t="s">
        <v>114</v>
      </c>
      <c r="E261" s="2" t="s">
        <v>70</v>
      </c>
      <c r="F261" s="3">
        <v>42384</v>
      </c>
      <c r="G261" s="2" t="s">
        <v>28</v>
      </c>
      <c r="H261" s="4">
        <v>42384</v>
      </c>
      <c r="I261" s="5">
        <f t="shared" si="4"/>
        <v>2016</v>
      </c>
      <c r="J261" s="2" t="s">
        <v>14</v>
      </c>
      <c r="K261" s="2">
        <v>260</v>
      </c>
      <c r="L261" s="2">
        <v>10991</v>
      </c>
    </row>
    <row r="262" spans="1:12" x14ac:dyDescent="0.35">
      <c r="A262" s="2">
        <v>273</v>
      </c>
      <c r="B262" s="2">
        <v>117</v>
      </c>
      <c r="C262" s="2" t="s">
        <v>20</v>
      </c>
      <c r="D262" s="2" t="s">
        <v>114</v>
      </c>
      <c r="E262" s="2" t="s">
        <v>66</v>
      </c>
      <c r="F262" s="3">
        <v>42386</v>
      </c>
      <c r="G262" s="2" t="s">
        <v>28</v>
      </c>
      <c r="H262" s="4">
        <v>42386</v>
      </c>
      <c r="I262" s="5">
        <f t="shared" si="4"/>
        <v>2016</v>
      </c>
      <c r="J262" s="2" t="s">
        <v>14</v>
      </c>
      <c r="K262" s="2">
        <v>261</v>
      </c>
      <c r="L262" s="2">
        <v>11108</v>
      </c>
    </row>
    <row r="263" spans="1:12" x14ac:dyDescent="0.35">
      <c r="A263" s="2">
        <v>274</v>
      </c>
      <c r="B263" s="2">
        <v>106</v>
      </c>
      <c r="C263" s="2" t="s">
        <v>20</v>
      </c>
      <c r="D263" s="2" t="s">
        <v>114</v>
      </c>
      <c r="E263" s="2" t="s">
        <v>92</v>
      </c>
      <c r="F263" s="3">
        <v>42389</v>
      </c>
      <c r="G263" s="2" t="s">
        <v>28</v>
      </c>
      <c r="H263" s="4">
        <v>42389</v>
      </c>
      <c r="I263" s="5">
        <f t="shared" si="4"/>
        <v>2016</v>
      </c>
      <c r="J263" s="2" t="s">
        <v>14</v>
      </c>
      <c r="K263" s="2">
        <v>262</v>
      </c>
      <c r="L263" s="2">
        <v>11214</v>
      </c>
    </row>
    <row r="264" spans="1:12" x14ac:dyDescent="0.35">
      <c r="A264" s="2">
        <v>275</v>
      </c>
      <c r="B264" s="2">
        <v>8</v>
      </c>
      <c r="C264" s="2" t="s">
        <v>20</v>
      </c>
      <c r="D264" s="2" t="s">
        <v>114</v>
      </c>
      <c r="E264" s="2" t="s">
        <v>67</v>
      </c>
      <c r="F264" s="3">
        <v>42392</v>
      </c>
      <c r="G264" s="2" t="s">
        <v>28</v>
      </c>
      <c r="H264" s="4">
        <v>42392</v>
      </c>
      <c r="I264" s="5">
        <f t="shared" si="4"/>
        <v>2016</v>
      </c>
      <c r="J264" s="2" t="s">
        <v>14</v>
      </c>
      <c r="K264" s="2">
        <v>263</v>
      </c>
      <c r="L264" s="2">
        <v>11222</v>
      </c>
    </row>
    <row r="265" spans="1:12" x14ac:dyDescent="0.35">
      <c r="A265" s="2">
        <v>276</v>
      </c>
      <c r="B265" s="2">
        <v>90</v>
      </c>
      <c r="C265" s="2" t="s">
        <v>20</v>
      </c>
      <c r="D265" s="2" t="s">
        <v>114</v>
      </c>
      <c r="E265" s="2" t="s">
        <v>69</v>
      </c>
      <c r="F265" s="3">
        <v>42395</v>
      </c>
      <c r="G265" s="2" t="s">
        <v>28</v>
      </c>
      <c r="H265" s="4">
        <v>42395</v>
      </c>
      <c r="I265" s="5">
        <f t="shared" si="4"/>
        <v>2016</v>
      </c>
      <c r="J265" s="2" t="s">
        <v>37</v>
      </c>
      <c r="K265" s="2">
        <v>264</v>
      </c>
      <c r="L265" s="2">
        <v>11312</v>
      </c>
    </row>
    <row r="266" spans="1:12" x14ac:dyDescent="0.35">
      <c r="A266" s="2">
        <v>277</v>
      </c>
      <c r="B266" s="2">
        <v>59</v>
      </c>
      <c r="C266" s="2" t="s">
        <v>20</v>
      </c>
      <c r="D266" s="2" t="s">
        <v>114</v>
      </c>
      <c r="E266" s="2" t="s">
        <v>66</v>
      </c>
      <c r="F266" s="3">
        <v>42398</v>
      </c>
      <c r="G266" s="2" t="s">
        <v>28</v>
      </c>
      <c r="H266" s="4">
        <v>42398</v>
      </c>
      <c r="I266" s="5">
        <f t="shared" si="4"/>
        <v>2016</v>
      </c>
      <c r="J266" s="2" t="s">
        <v>37</v>
      </c>
      <c r="K266" s="2">
        <v>265</v>
      </c>
      <c r="L266" s="2">
        <v>11371</v>
      </c>
    </row>
    <row r="267" spans="1:12" x14ac:dyDescent="0.35">
      <c r="A267" s="2">
        <v>278</v>
      </c>
      <c r="B267" s="2">
        <v>50</v>
      </c>
      <c r="C267" s="2" t="s">
        <v>20</v>
      </c>
      <c r="D267" s="2" t="s">
        <v>114</v>
      </c>
      <c r="E267" s="2" t="s">
        <v>67</v>
      </c>
      <c r="F267" s="3">
        <v>42400</v>
      </c>
      <c r="G267" s="2" t="s">
        <v>28</v>
      </c>
      <c r="H267" s="4">
        <v>42400</v>
      </c>
      <c r="I267" s="5">
        <f t="shared" si="4"/>
        <v>2016</v>
      </c>
      <c r="J267" s="2" t="s">
        <v>37</v>
      </c>
      <c r="K267" s="2">
        <v>266</v>
      </c>
      <c r="L267" s="2">
        <v>11421</v>
      </c>
    </row>
    <row r="268" spans="1:12" x14ac:dyDescent="0.35">
      <c r="A268" s="2">
        <v>279</v>
      </c>
      <c r="B268" s="2">
        <v>7</v>
      </c>
      <c r="C268" s="2" t="s">
        <v>29</v>
      </c>
      <c r="D268" s="2" t="s">
        <v>115</v>
      </c>
      <c r="E268" s="2" t="s">
        <v>27</v>
      </c>
      <c r="F268" s="3">
        <v>42424</v>
      </c>
      <c r="G268" s="2" t="s">
        <v>28</v>
      </c>
      <c r="H268" s="4">
        <v>42424</v>
      </c>
      <c r="I268" s="5">
        <f t="shared" si="4"/>
        <v>2016</v>
      </c>
      <c r="J268" s="2" t="s">
        <v>37</v>
      </c>
      <c r="K268" s="2">
        <v>267</v>
      </c>
      <c r="L268" s="2">
        <v>11428</v>
      </c>
    </row>
    <row r="269" spans="1:12" x14ac:dyDescent="0.35">
      <c r="A269" s="2">
        <v>280</v>
      </c>
      <c r="B269" s="2">
        <v>49</v>
      </c>
      <c r="C269" s="2" t="s">
        <v>16</v>
      </c>
      <c r="D269" s="2" t="s">
        <v>112</v>
      </c>
      <c r="E269" s="2" t="s">
        <v>27</v>
      </c>
      <c r="F269" s="3">
        <v>42427</v>
      </c>
      <c r="G269" s="2" t="s">
        <v>28</v>
      </c>
      <c r="H269" s="4">
        <v>42427</v>
      </c>
      <c r="I269" s="5">
        <f t="shared" si="4"/>
        <v>2016</v>
      </c>
      <c r="J269" s="2" t="s">
        <v>37</v>
      </c>
      <c r="K269" s="2">
        <v>268</v>
      </c>
      <c r="L269" s="2">
        <v>11477</v>
      </c>
    </row>
    <row r="270" spans="1:12" x14ac:dyDescent="0.35">
      <c r="A270" s="2">
        <v>281</v>
      </c>
      <c r="B270" s="2">
        <v>56</v>
      </c>
      <c r="C270" s="2" t="s">
        <v>11</v>
      </c>
      <c r="D270" s="2" t="s">
        <v>111</v>
      </c>
      <c r="E270" s="2" t="s">
        <v>27</v>
      </c>
      <c r="F270" s="3">
        <v>42430</v>
      </c>
      <c r="G270" s="2" t="s">
        <v>28</v>
      </c>
      <c r="H270" s="4">
        <v>42430</v>
      </c>
      <c r="I270" s="5">
        <f t="shared" si="4"/>
        <v>2016</v>
      </c>
      <c r="J270" s="2" t="s">
        <v>37</v>
      </c>
      <c r="K270" s="2">
        <v>269</v>
      </c>
      <c r="L270" s="2">
        <v>11533</v>
      </c>
    </row>
    <row r="271" spans="1:12" x14ac:dyDescent="0.35">
      <c r="A271" s="2">
        <v>283</v>
      </c>
      <c r="B271" s="2">
        <v>41</v>
      </c>
      <c r="C271" s="2" t="s">
        <v>29</v>
      </c>
      <c r="D271" s="2" t="s">
        <v>115</v>
      </c>
      <c r="E271" s="2" t="s">
        <v>27</v>
      </c>
      <c r="F271" s="3">
        <v>42435</v>
      </c>
      <c r="G271" s="2" t="s">
        <v>28</v>
      </c>
      <c r="H271" s="4">
        <v>42435</v>
      </c>
      <c r="I271" s="5">
        <f t="shared" si="4"/>
        <v>2016</v>
      </c>
      <c r="J271" s="2" t="s">
        <v>37</v>
      </c>
      <c r="K271" s="2">
        <v>270</v>
      </c>
      <c r="L271" s="2">
        <v>11574</v>
      </c>
    </row>
    <row r="272" spans="1:12" x14ac:dyDescent="0.35">
      <c r="A272" s="2">
        <v>284</v>
      </c>
      <c r="B272" s="2">
        <v>23</v>
      </c>
      <c r="C272" s="2" t="s">
        <v>38</v>
      </c>
      <c r="D272" s="2" t="s">
        <v>118</v>
      </c>
      <c r="E272" s="2" t="s">
        <v>25</v>
      </c>
      <c r="F272" s="3">
        <v>42444</v>
      </c>
      <c r="G272" s="2" t="s">
        <v>28</v>
      </c>
      <c r="H272" s="4">
        <v>42444</v>
      </c>
      <c r="I272" s="5">
        <f t="shared" si="4"/>
        <v>2016</v>
      </c>
      <c r="J272" s="2" t="s">
        <v>37</v>
      </c>
      <c r="K272" s="2">
        <v>271</v>
      </c>
      <c r="L272" s="2">
        <v>11597</v>
      </c>
    </row>
    <row r="273" spans="1:12" x14ac:dyDescent="0.35">
      <c r="A273" s="2">
        <v>285</v>
      </c>
      <c r="B273" s="2">
        <v>55</v>
      </c>
      <c r="C273" s="2" t="s">
        <v>16</v>
      </c>
      <c r="D273" s="2" t="s">
        <v>112</v>
      </c>
      <c r="E273" s="2" t="s">
        <v>26</v>
      </c>
      <c r="F273" s="3">
        <v>42448</v>
      </c>
      <c r="G273" s="2" t="s">
        <v>28</v>
      </c>
      <c r="H273" s="4">
        <v>42448</v>
      </c>
      <c r="I273" s="5">
        <f t="shared" si="4"/>
        <v>2016</v>
      </c>
      <c r="J273" s="2" t="s">
        <v>37</v>
      </c>
      <c r="K273" s="2">
        <v>272</v>
      </c>
      <c r="L273" s="2">
        <v>11652</v>
      </c>
    </row>
    <row r="274" spans="1:12" x14ac:dyDescent="0.35">
      <c r="A274" s="2">
        <v>286</v>
      </c>
      <c r="B274" s="2">
        <v>24</v>
      </c>
      <c r="C274" s="2" t="s">
        <v>29</v>
      </c>
      <c r="D274" s="2" t="s">
        <v>115</v>
      </c>
      <c r="E274" s="2" t="s">
        <v>41</v>
      </c>
      <c r="F274" s="3">
        <v>42452</v>
      </c>
      <c r="G274" s="2" t="s">
        <v>28</v>
      </c>
      <c r="H274" s="4">
        <v>42452</v>
      </c>
      <c r="I274" s="5">
        <f t="shared" si="4"/>
        <v>2016</v>
      </c>
      <c r="J274" s="2" t="s">
        <v>37</v>
      </c>
      <c r="K274" s="2">
        <v>273</v>
      </c>
      <c r="L274" s="2">
        <v>11676</v>
      </c>
    </row>
    <row r="275" spans="1:12" x14ac:dyDescent="0.35">
      <c r="A275" s="2">
        <v>287</v>
      </c>
      <c r="B275" s="2">
        <v>82</v>
      </c>
      <c r="C275" s="2" t="s">
        <v>20</v>
      </c>
      <c r="D275" s="2" t="s">
        <v>114</v>
      </c>
      <c r="E275" s="2" t="s">
        <v>23</v>
      </c>
      <c r="F275" s="3">
        <v>42456</v>
      </c>
      <c r="G275" s="2" t="s">
        <v>28</v>
      </c>
      <c r="H275" s="4">
        <v>42456</v>
      </c>
      <c r="I275" s="5">
        <f t="shared" si="4"/>
        <v>2016</v>
      </c>
      <c r="J275" s="2" t="s">
        <v>37</v>
      </c>
      <c r="K275" s="2">
        <v>274</v>
      </c>
      <c r="L275" s="2">
        <v>11758</v>
      </c>
    </row>
    <row r="276" spans="1:12" x14ac:dyDescent="0.35">
      <c r="A276" s="2">
        <v>288</v>
      </c>
      <c r="B276" s="2">
        <v>89</v>
      </c>
      <c r="C276" s="2" t="s">
        <v>18</v>
      </c>
      <c r="D276" s="2" t="s">
        <v>113</v>
      </c>
      <c r="E276" s="2" t="s">
        <v>50</v>
      </c>
      <c r="F276" s="3">
        <v>42460</v>
      </c>
      <c r="G276" s="2" t="s">
        <v>28</v>
      </c>
      <c r="H276" s="4">
        <v>42460</v>
      </c>
      <c r="I276" s="5">
        <f t="shared" si="4"/>
        <v>2016</v>
      </c>
      <c r="J276" s="2" t="s">
        <v>37</v>
      </c>
      <c r="K276" s="2">
        <v>275</v>
      </c>
      <c r="L276" s="2">
        <v>11847</v>
      </c>
    </row>
    <row r="277" spans="1:12" x14ac:dyDescent="0.35">
      <c r="A277" s="2">
        <v>289</v>
      </c>
      <c r="B277" s="2">
        <v>200</v>
      </c>
      <c r="C277" s="2" t="s">
        <v>18</v>
      </c>
      <c r="D277" s="2" t="s">
        <v>113</v>
      </c>
      <c r="E277" s="2" t="s">
        <v>52</v>
      </c>
      <c r="F277" s="3">
        <v>42572</v>
      </c>
      <c r="G277" s="2" t="s">
        <v>13</v>
      </c>
      <c r="H277" s="4">
        <v>42572</v>
      </c>
      <c r="I277" s="5">
        <f t="shared" si="4"/>
        <v>2016</v>
      </c>
      <c r="J277" s="2" t="s">
        <v>54</v>
      </c>
      <c r="K277" s="2">
        <v>276</v>
      </c>
      <c r="L277" s="2">
        <v>12047</v>
      </c>
    </row>
    <row r="278" spans="1:12" x14ac:dyDescent="0.35">
      <c r="A278" s="2">
        <v>290</v>
      </c>
      <c r="B278" s="2">
        <v>44</v>
      </c>
      <c r="C278" s="2" t="s">
        <v>18</v>
      </c>
      <c r="D278" s="2" t="s">
        <v>113</v>
      </c>
      <c r="E278" s="2" t="s">
        <v>53</v>
      </c>
      <c r="F278" s="3">
        <v>42581</v>
      </c>
      <c r="G278" s="2" t="s">
        <v>13</v>
      </c>
      <c r="H278" s="4">
        <v>42581</v>
      </c>
      <c r="I278" s="5">
        <f t="shared" si="4"/>
        <v>2016</v>
      </c>
      <c r="J278" s="2" t="s">
        <v>54</v>
      </c>
      <c r="K278" s="2">
        <v>277</v>
      </c>
      <c r="L278" s="2">
        <v>12091</v>
      </c>
    </row>
    <row r="279" spans="1:12" x14ac:dyDescent="0.35">
      <c r="A279" s="2">
        <v>291</v>
      </c>
      <c r="B279" s="2">
        <v>3</v>
      </c>
      <c r="C279" s="2" t="s">
        <v>18</v>
      </c>
      <c r="D279" s="2" t="s">
        <v>113</v>
      </c>
      <c r="E279" s="2" t="s">
        <v>93</v>
      </c>
      <c r="F279" s="3">
        <v>42591</v>
      </c>
      <c r="G279" s="2" t="s">
        <v>13</v>
      </c>
      <c r="H279" s="4">
        <v>42591</v>
      </c>
      <c r="I279" s="5">
        <f t="shared" si="4"/>
        <v>2016</v>
      </c>
      <c r="J279" s="2" t="s">
        <v>54</v>
      </c>
      <c r="K279" s="2">
        <v>278</v>
      </c>
      <c r="L279" s="2">
        <v>12094</v>
      </c>
    </row>
    <row r="280" spans="1:12" x14ac:dyDescent="0.35">
      <c r="A280" s="2">
        <v>292</v>
      </c>
      <c r="B280" s="2">
        <v>4</v>
      </c>
      <c r="C280" s="2" t="s">
        <v>18</v>
      </c>
      <c r="D280" s="2" t="s">
        <v>113</v>
      </c>
      <c r="E280" s="2" t="s">
        <v>93</v>
      </c>
      <c r="F280" s="3">
        <v>42591</v>
      </c>
      <c r="G280" s="2" t="s">
        <v>13</v>
      </c>
      <c r="H280" s="4">
        <v>42591</v>
      </c>
      <c r="I280" s="5">
        <f t="shared" si="4"/>
        <v>2016</v>
      </c>
      <c r="J280" s="2" t="s">
        <v>54</v>
      </c>
      <c r="K280" s="2">
        <v>279</v>
      </c>
      <c r="L280" s="2">
        <v>12098</v>
      </c>
    </row>
    <row r="281" spans="1:12" x14ac:dyDescent="0.35">
      <c r="A281" s="2">
        <v>294</v>
      </c>
      <c r="B281" s="2">
        <v>16</v>
      </c>
      <c r="C281" s="2" t="s">
        <v>18</v>
      </c>
      <c r="D281" s="2" t="s">
        <v>113</v>
      </c>
      <c r="E281" s="2" t="s">
        <v>94</v>
      </c>
      <c r="F281" s="3">
        <v>42609</v>
      </c>
      <c r="G281" s="2" t="s">
        <v>13</v>
      </c>
      <c r="H281" s="4">
        <v>42609</v>
      </c>
      <c r="I281" s="5">
        <f t="shared" si="4"/>
        <v>2016</v>
      </c>
      <c r="J281" s="2" t="s">
        <v>37</v>
      </c>
      <c r="K281" s="2">
        <v>280</v>
      </c>
      <c r="L281" s="2">
        <v>12114</v>
      </c>
    </row>
    <row r="282" spans="1:12" x14ac:dyDescent="0.35">
      <c r="A282" s="2">
        <v>296</v>
      </c>
      <c r="B282" s="2">
        <v>9</v>
      </c>
      <c r="C282" s="2" t="s">
        <v>38</v>
      </c>
      <c r="D282" s="2" t="s">
        <v>118</v>
      </c>
      <c r="E282" s="2" t="s">
        <v>80</v>
      </c>
      <c r="F282" s="3">
        <v>42635</v>
      </c>
      <c r="G282" s="2" t="s">
        <v>13</v>
      </c>
      <c r="H282" s="4">
        <v>42635</v>
      </c>
      <c r="I282" s="5">
        <f t="shared" si="4"/>
        <v>2016</v>
      </c>
      <c r="J282" s="2" t="s">
        <v>54</v>
      </c>
      <c r="K282" s="2">
        <v>281</v>
      </c>
      <c r="L282" s="2">
        <v>12123</v>
      </c>
    </row>
    <row r="283" spans="1:12" x14ac:dyDescent="0.35">
      <c r="A283" s="2">
        <v>297</v>
      </c>
      <c r="B283" s="2">
        <v>18</v>
      </c>
      <c r="C283" s="2" t="s">
        <v>38</v>
      </c>
      <c r="D283" s="2" t="s">
        <v>118</v>
      </c>
      <c r="E283" s="2" t="s">
        <v>80</v>
      </c>
      <c r="F283" s="3">
        <v>42635</v>
      </c>
      <c r="G283" s="2" t="s">
        <v>13</v>
      </c>
      <c r="H283" s="4">
        <v>42635</v>
      </c>
      <c r="I283" s="5">
        <f t="shared" si="4"/>
        <v>2016</v>
      </c>
      <c r="J283" s="2" t="s">
        <v>54</v>
      </c>
      <c r="K283" s="2">
        <v>282</v>
      </c>
      <c r="L283" s="2">
        <v>12141</v>
      </c>
    </row>
    <row r="284" spans="1:12" x14ac:dyDescent="0.35">
      <c r="A284" s="2">
        <v>298</v>
      </c>
      <c r="B284" s="2">
        <v>9</v>
      </c>
      <c r="C284" s="2" t="s">
        <v>38</v>
      </c>
      <c r="D284" s="2" t="s">
        <v>118</v>
      </c>
      <c r="E284" s="2" t="s">
        <v>26</v>
      </c>
      <c r="F284" s="3">
        <v>42643</v>
      </c>
      <c r="G284" s="2" t="s">
        <v>13</v>
      </c>
      <c r="H284" s="4">
        <v>42643</v>
      </c>
      <c r="I284" s="5">
        <f t="shared" si="4"/>
        <v>2016</v>
      </c>
      <c r="J284" s="2" t="s">
        <v>54</v>
      </c>
      <c r="K284" s="2">
        <v>283</v>
      </c>
      <c r="L284" s="2">
        <v>12150</v>
      </c>
    </row>
    <row r="285" spans="1:12" x14ac:dyDescent="0.35">
      <c r="A285" s="2">
        <v>299</v>
      </c>
      <c r="B285" s="2">
        <v>45</v>
      </c>
      <c r="C285" s="2" t="s">
        <v>38</v>
      </c>
      <c r="D285" s="2" t="s">
        <v>118</v>
      </c>
      <c r="E285" s="2" t="s">
        <v>26</v>
      </c>
      <c r="F285" s="3">
        <v>42643</v>
      </c>
      <c r="G285" s="2" t="s">
        <v>13</v>
      </c>
      <c r="H285" s="4">
        <v>42643</v>
      </c>
      <c r="I285" s="5">
        <f t="shared" si="4"/>
        <v>2016</v>
      </c>
      <c r="J285" s="2" t="s">
        <v>54</v>
      </c>
      <c r="K285" s="2">
        <v>284</v>
      </c>
      <c r="L285" s="2">
        <v>12195</v>
      </c>
    </row>
    <row r="286" spans="1:12" x14ac:dyDescent="0.35">
      <c r="A286" s="2">
        <v>300</v>
      </c>
      <c r="B286" s="2">
        <v>211</v>
      </c>
      <c r="C286" s="2" t="s">
        <v>38</v>
      </c>
      <c r="D286" s="2" t="s">
        <v>118</v>
      </c>
      <c r="E286" s="2" t="s">
        <v>65</v>
      </c>
      <c r="F286" s="3">
        <v>42651</v>
      </c>
      <c r="G286" s="2" t="s">
        <v>22</v>
      </c>
      <c r="H286" s="4">
        <v>42651</v>
      </c>
      <c r="I286" s="5">
        <f t="shared" si="4"/>
        <v>2016</v>
      </c>
      <c r="J286" s="2" t="s">
        <v>54</v>
      </c>
      <c r="K286" s="2">
        <v>285</v>
      </c>
      <c r="L286" s="2">
        <v>12406</v>
      </c>
    </row>
    <row r="287" spans="1:12" x14ac:dyDescent="0.35">
      <c r="A287" s="2">
        <v>301</v>
      </c>
      <c r="B287" s="2">
        <v>17</v>
      </c>
      <c r="C287" s="2" t="s">
        <v>38</v>
      </c>
      <c r="D287" s="2" t="s">
        <v>118</v>
      </c>
      <c r="E287" s="2" t="s">
        <v>65</v>
      </c>
      <c r="F287" s="3">
        <v>42651</v>
      </c>
      <c r="G287" s="2" t="s">
        <v>22</v>
      </c>
      <c r="H287" s="4">
        <v>42651</v>
      </c>
      <c r="I287" s="5">
        <f t="shared" si="4"/>
        <v>2016</v>
      </c>
      <c r="J287" s="2" t="s">
        <v>54</v>
      </c>
      <c r="K287" s="2">
        <v>286</v>
      </c>
      <c r="L287" s="2">
        <v>12423</v>
      </c>
    </row>
    <row r="288" spans="1:12" x14ac:dyDescent="0.35">
      <c r="A288" s="2">
        <v>302</v>
      </c>
      <c r="B288" s="2">
        <v>85</v>
      </c>
      <c r="C288" s="2" t="s">
        <v>38</v>
      </c>
      <c r="D288" s="2" t="s">
        <v>118</v>
      </c>
      <c r="E288" s="2" t="s">
        <v>78</v>
      </c>
      <c r="F288" s="3">
        <v>42659</v>
      </c>
      <c r="G288" s="2" t="s">
        <v>22</v>
      </c>
      <c r="H288" s="4">
        <v>42659</v>
      </c>
      <c r="I288" s="5">
        <f t="shared" si="4"/>
        <v>2016</v>
      </c>
      <c r="J288" s="2" t="s">
        <v>14</v>
      </c>
      <c r="K288" s="2">
        <v>287</v>
      </c>
      <c r="L288" s="2">
        <v>12508</v>
      </c>
    </row>
    <row r="289" spans="1:12" x14ac:dyDescent="0.35">
      <c r="A289" s="2">
        <v>303</v>
      </c>
      <c r="B289" s="2">
        <v>9</v>
      </c>
      <c r="C289" s="2" t="s">
        <v>38</v>
      </c>
      <c r="D289" s="2" t="s">
        <v>118</v>
      </c>
      <c r="E289" s="2" t="s">
        <v>49</v>
      </c>
      <c r="F289" s="3">
        <v>42663</v>
      </c>
      <c r="G289" s="2" t="s">
        <v>22</v>
      </c>
      <c r="H289" s="4">
        <v>42663</v>
      </c>
      <c r="I289" s="5">
        <f t="shared" si="4"/>
        <v>2016</v>
      </c>
      <c r="J289" s="2" t="s">
        <v>14</v>
      </c>
      <c r="K289" s="2">
        <v>288</v>
      </c>
      <c r="L289" s="2">
        <v>12517</v>
      </c>
    </row>
    <row r="290" spans="1:12" x14ac:dyDescent="0.35">
      <c r="A290" s="2">
        <v>304</v>
      </c>
      <c r="B290" s="2">
        <v>154</v>
      </c>
      <c r="C290" s="2" t="s">
        <v>38</v>
      </c>
      <c r="D290" s="2" t="s">
        <v>118</v>
      </c>
      <c r="E290" s="2" t="s">
        <v>23</v>
      </c>
      <c r="F290" s="3">
        <v>42666</v>
      </c>
      <c r="G290" s="2" t="s">
        <v>22</v>
      </c>
      <c r="H290" s="4">
        <v>42666</v>
      </c>
      <c r="I290" s="5">
        <f t="shared" si="4"/>
        <v>2016</v>
      </c>
      <c r="J290" s="2" t="s">
        <v>14</v>
      </c>
      <c r="K290" s="2">
        <v>289</v>
      </c>
      <c r="L290" s="2">
        <v>12671</v>
      </c>
    </row>
    <row r="291" spans="1:12" x14ac:dyDescent="0.35">
      <c r="A291" s="2">
        <v>305</v>
      </c>
      <c r="B291" s="2">
        <v>45</v>
      </c>
      <c r="C291" s="2" t="s">
        <v>38</v>
      </c>
      <c r="D291" s="2" t="s">
        <v>118</v>
      </c>
      <c r="E291" s="2" t="s">
        <v>77</v>
      </c>
      <c r="F291" s="3">
        <v>42669</v>
      </c>
      <c r="G291" s="2" t="s">
        <v>22</v>
      </c>
      <c r="H291" s="4">
        <v>42669</v>
      </c>
      <c r="I291" s="5">
        <f t="shared" si="4"/>
        <v>2016</v>
      </c>
      <c r="J291" s="2" t="s">
        <v>14</v>
      </c>
      <c r="K291" s="2">
        <v>290</v>
      </c>
      <c r="L291" s="2">
        <v>12716</v>
      </c>
    </row>
    <row r="292" spans="1:12" x14ac:dyDescent="0.35">
      <c r="A292" s="2">
        <v>306</v>
      </c>
      <c r="B292" s="2">
        <v>65</v>
      </c>
      <c r="C292" s="2" t="s">
        <v>38</v>
      </c>
      <c r="D292" s="2" t="s">
        <v>118</v>
      </c>
      <c r="E292" s="2" t="s">
        <v>39</v>
      </c>
      <c r="F292" s="3">
        <v>42672</v>
      </c>
      <c r="G292" s="2" t="s">
        <v>22</v>
      </c>
      <c r="H292" s="4">
        <v>42672</v>
      </c>
      <c r="I292" s="5">
        <f t="shared" si="4"/>
        <v>2016</v>
      </c>
      <c r="J292" s="2" t="s">
        <v>14</v>
      </c>
      <c r="K292" s="2">
        <v>291</v>
      </c>
      <c r="L292" s="2">
        <v>12781</v>
      </c>
    </row>
    <row r="293" spans="1:12" x14ac:dyDescent="0.35">
      <c r="A293" s="2">
        <v>307</v>
      </c>
      <c r="B293" s="2">
        <v>40</v>
      </c>
      <c r="C293" s="2" t="s">
        <v>46</v>
      </c>
      <c r="D293" s="2" t="s">
        <v>119</v>
      </c>
      <c r="E293" s="2" t="s">
        <v>24</v>
      </c>
      <c r="F293" s="3">
        <v>42683</v>
      </c>
      <c r="G293" s="2" t="s">
        <v>22</v>
      </c>
      <c r="H293" s="4">
        <v>42683</v>
      </c>
      <c r="I293" s="5">
        <f t="shared" si="4"/>
        <v>2016</v>
      </c>
      <c r="J293" s="2" t="s">
        <v>54</v>
      </c>
      <c r="K293" s="2">
        <v>292</v>
      </c>
      <c r="L293" s="2">
        <v>12821</v>
      </c>
    </row>
    <row r="294" spans="1:12" x14ac:dyDescent="0.35">
      <c r="A294" s="2">
        <v>308</v>
      </c>
      <c r="B294" s="2">
        <v>49</v>
      </c>
      <c r="C294" s="2" t="s">
        <v>46</v>
      </c>
      <c r="D294" s="2" t="s">
        <v>119</v>
      </c>
      <c r="E294" s="2" t="s">
        <v>24</v>
      </c>
      <c r="F294" s="3">
        <v>42683</v>
      </c>
      <c r="G294" s="2" t="s">
        <v>22</v>
      </c>
      <c r="H294" s="4">
        <v>42683</v>
      </c>
      <c r="I294" s="5">
        <f t="shared" si="4"/>
        <v>2016</v>
      </c>
      <c r="J294" s="2" t="s">
        <v>54</v>
      </c>
      <c r="K294" s="2">
        <v>293</v>
      </c>
      <c r="L294" s="2">
        <v>12870</v>
      </c>
    </row>
    <row r="295" spans="1:12" x14ac:dyDescent="0.35">
      <c r="A295" s="2">
        <v>309</v>
      </c>
      <c r="B295" s="2">
        <v>167</v>
      </c>
      <c r="C295" s="2" t="s">
        <v>46</v>
      </c>
      <c r="D295" s="2" t="s">
        <v>119</v>
      </c>
      <c r="E295" s="2" t="s">
        <v>39</v>
      </c>
      <c r="F295" s="3">
        <v>42691</v>
      </c>
      <c r="G295" s="2" t="s">
        <v>22</v>
      </c>
      <c r="H295" s="4">
        <v>42691</v>
      </c>
      <c r="I295" s="5">
        <f t="shared" si="4"/>
        <v>2016</v>
      </c>
      <c r="J295" s="2" t="s">
        <v>54</v>
      </c>
      <c r="K295" s="2">
        <v>294</v>
      </c>
      <c r="L295" s="2">
        <v>13037</v>
      </c>
    </row>
    <row r="296" spans="1:12" x14ac:dyDescent="0.35">
      <c r="A296" s="2">
        <v>310</v>
      </c>
      <c r="B296" s="2">
        <v>81</v>
      </c>
      <c r="C296" s="2" t="s">
        <v>46</v>
      </c>
      <c r="D296" s="2" t="s">
        <v>119</v>
      </c>
      <c r="E296" s="2" t="s">
        <v>39</v>
      </c>
      <c r="F296" s="3">
        <v>42691</v>
      </c>
      <c r="G296" s="2" t="s">
        <v>22</v>
      </c>
      <c r="H296" s="4">
        <v>42691</v>
      </c>
      <c r="I296" s="5">
        <f t="shared" si="4"/>
        <v>2016</v>
      </c>
      <c r="J296" s="2" t="s">
        <v>54</v>
      </c>
      <c r="K296" s="2">
        <v>295</v>
      </c>
      <c r="L296" s="2">
        <v>13118</v>
      </c>
    </row>
    <row r="297" spans="1:12" x14ac:dyDescent="0.35">
      <c r="A297" s="2">
        <v>311</v>
      </c>
      <c r="B297" s="2">
        <v>62</v>
      </c>
      <c r="C297" s="2" t="s">
        <v>46</v>
      </c>
      <c r="D297" s="2" t="s">
        <v>119</v>
      </c>
      <c r="E297" s="2" t="s">
        <v>23</v>
      </c>
      <c r="F297" s="3">
        <v>42700</v>
      </c>
      <c r="G297" s="2" t="s">
        <v>22</v>
      </c>
      <c r="H297" s="4">
        <v>42700</v>
      </c>
      <c r="I297" s="5">
        <f t="shared" si="4"/>
        <v>2016</v>
      </c>
      <c r="J297" s="2" t="s">
        <v>54</v>
      </c>
      <c r="K297" s="2">
        <v>296</v>
      </c>
      <c r="L297" s="2">
        <v>13180</v>
      </c>
    </row>
    <row r="298" spans="1:12" x14ac:dyDescent="0.35">
      <c r="A298" s="2">
        <v>312</v>
      </c>
      <c r="B298" s="2">
        <v>6</v>
      </c>
      <c r="C298" s="2" t="s">
        <v>46</v>
      </c>
      <c r="D298" s="2" t="s">
        <v>119</v>
      </c>
      <c r="E298" s="2" t="s">
        <v>23</v>
      </c>
      <c r="F298" s="3">
        <v>42700</v>
      </c>
      <c r="G298" s="2" t="s">
        <v>22</v>
      </c>
      <c r="H298" s="4">
        <v>42700</v>
      </c>
      <c r="I298" s="5">
        <f t="shared" si="4"/>
        <v>2016</v>
      </c>
      <c r="J298" s="2" t="s">
        <v>54</v>
      </c>
      <c r="K298" s="2">
        <v>297</v>
      </c>
      <c r="L298" s="2">
        <v>13186</v>
      </c>
    </row>
    <row r="299" spans="1:12" x14ac:dyDescent="0.35">
      <c r="A299" s="2">
        <v>313</v>
      </c>
      <c r="B299" s="2">
        <v>235</v>
      </c>
      <c r="C299" s="2" t="s">
        <v>46</v>
      </c>
      <c r="D299" s="2" t="s">
        <v>119</v>
      </c>
      <c r="E299" s="2" t="s">
        <v>50</v>
      </c>
      <c r="F299" s="3">
        <v>42712</v>
      </c>
      <c r="G299" s="2" t="s">
        <v>22</v>
      </c>
      <c r="H299" s="4">
        <v>42712</v>
      </c>
      <c r="I299" s="5">
        <f t="shared" si="4"/>
        <v>2016</v>
      </c>
      <c r="J299" s="2" t="s">
        <v>54</v>
      </c>
      <c r="K299" s="2">
        <v>298</v>
      </c>
      <c r="L299" s="2">
        <v>13421</v>
      </c>
    </row>
    <row r="300" spans="1:12" x14ac:dyDescent="0.35">
      <c r="A300" s="2">
        <v>314</v>
      </c>
      <c r="B300" s="2">
        <v>15</v>
      </c>
      <c r="C300" s="2" t="s">
        <v>46</v>
      </c>
      <c r="D300" s="2" t="s">
        <v>119</v>
      </c>
      <c r="E300" s="2" t="s">
        <v>42</v>
      </c>
      <c r="F300" s="3">
        <v>42720</v>
      </c>
      <c r="G300" s="2" t="s">
        <v>22</v>
      </c>
      <c r="H300" s="4">
        <v>42720</v>
      </c>
      <c r="I300" s="5">
        <f t="shared" si="4"/>
        <v>2016</v>
      </c>
      <c r="J300" s="2" t="s">
        <v>54</v>
      </c>
      <c r="K300" s="2">
        <v>299</v>
      </c>
      <c r="L300" s="2">
        <v>13436</v>
      </c>
    </row>
    <row r="301" spans="1:12" x14ac:dyDescent="0.35">
      <c r="A301" s="2">
        <v>315</v>
      </c>
      <c r="B301" s="2">
        <v>122</v>
      </c>
      <c r="C301" s="2" t="s">
        <v>46</v>
      </c>
      <c r="D301" s="2" t="s">
        <v>119</v>
      </c>
      <c r="E301" s="2" t="s">
        <v>75</v>
      </c>
      <c r="F301" s="3">
        <v>42750</v>
      </c>
      <c r="G301" s="2" t="s">
        <v>28</v>
      </c>
      <c r="H301" s="4">
        <v>42750</v>
      </c>
      <c r="I301" s="5">
        <f t="shared" si="4"/>
        <v>2017</v>
      </c>
      <c r="J301" s="2" t="s">
        <v>14</v>
      </c>
      <c r="K301" s="2">
        <v>300</v>
      </c>
      <c r="L301" s="2">
        <v>13558</v>
      </c>
    </row>
    <row r="302" spans="1:12" x14ac:dyDescent="0.35">
      <c r="A302" s="2">
        <v>316</v>
      </c>
      <c r="B302" s="2">
        <v>8</v>
      </c>
      <c r="C302" s="2" t="s">
        <v>46</v>
      </c>
      <c r="D302" s="2" t="s">
        <v>119</v>
      </c>
      <c r="E302" s="2" t="s">
        <v>64</v>
      </c>
      <c r="F302" s="3">
        <v>42754</v>
      </c>
      <c r="G302" s="2" t="s">
        <v>28</v>
      </c>
      <c r="H302" s="4">
        <v>42754</v>
      </c>
      <c r="I302" s="5">
        <f t="shared" si="4"/>
        <v>2017</v>
      </c>
      <c r="J302" s="2" t="s">
        <v>14</v>
      </c>
      <c r="K302" s="2">
        <v>301</v>
      </c>
      <c r="L302" s="2">
        <v>13566</v>
      </c>
    </row>
    <row r="303" spans="1:12" x14ac:dyDescent="0.35">
      <c r="A303" s="2">
        <v>317</v>
      </c>
      <c r="B303" s="2">
        <v>55</v>
      </c>
      <c r="C303" s="2" t="s">
        <v>46</v>
      </c>
      <c r="D303" s="2" t="s">
        <v>119</v>
      </c>
      <c r="E303" s="2" t="s">
        <v>26</v>
      </c>
      <c r="F303" s="3">
        <v>42757</v>
      </c>
      <c r="G303" s="2" t="s">
        <v>28</v>
      </c>
      <c r="H303" s="4">
        <v>42757</v>
      </c>
      <c r="I303" s="5">
        <f t="shared" si="4"/>
        <v>2017</v>
      </c>
      <c r="J303" s="2" t="s">
        <v>14</v>
      </c>
      <c r="K303" s="2">
        <v>302</v>
      </c>
      <c r="L303" s="2">
        <v>13621</v>
      </c>
    </row>
    <row r="304" spans="1:12" x14ac:dyDescent="0.35">
      <c r="A304" s="2">
        <v>318</v>
      </c>
      <c r="B304" s="2">
        <v>29</v>
      </c>
      <c r="C304" s="2" t="s">
        <v>46</v>
      </c>
      <c r="D304" s="2" t="s">
        <v>119</v>
      </c>
      <c r="E304" s="2" t="s">
        <v>80</v>
      </c>
      <c r="F304" s="3">
        <v>42761</v>
      </c>
      <c r="G304" s="2" t="s">
        <v>28</v>
      </c>
      <c r="H304" s="4">
        <v>42761</v>
      </c>
      <c r="I304" s="5">
        <f t="shared" si="4"/>
        <v>2017</v>
      </c>
      <c r="J304" s="2" t="s">
        <v>37</v>
      </c>
      <c r="K304" s="2">
        <v>303</v>
      </c>
      <c r="L304" s="2">
        <v>13650</v>
      </c>
    </row>
    <row r="305" spans="1:12" x14ac:dyDescent="0.35">
      <c r="A305" s="2">
        <v>319</v>
      </c>
      <c r="B305" s="2">
        <v>21</v>
      </c>
      <c r="C305" s="2" t="s">
        <v>46</v>
      </c>
      <c r="D305" s="2" t="s">
        <v>119</v>
      </c>
      <c r="E305" s="2" t="s">
        <v>25</v>
      </c>
      <c r="F305" s="3">
        <v>42764</v>
      </c>
      <c r="G305" s="2" t="s">
        <v>28</v>
      </c>
      <c r="H305" s="4">
        <v>42764</v>
      </c>
      <c r="I305" s="5">
        <f t="shared" si="4"/>
        <v>2017</v>
      </c>
      <c r="J305" s="2" t="s">
        <v>37</v>
      </c>
      <c r="K305" s="2">
        <v>304</v>
      </c>
      <c r="L305" s="2">
        <v>13671</v>
      </c>
    </row>
    <row r="306" spans="1:12" x14ac:dyDescent="0.35">
      <c r="A306" s="2">
        <v>320</v>
      </c>
      <c r="B306" s="2">
        <v>2</v>
      </c>
      <c r="C306" s="2" t="s">
        <v>46</v>
      </c>
      <c r="D306" s="2" t="s">
        <v>119</v>
      </c>
      <c r="E306" s="2" t="s">
        <v>41</v>
      </c>
      <c r="F306" s="3">
        <v>42767</v>
      </c>
      <c r="G306" s="2" t="s">
        <v>28</v>
      </c>
      <c r="H306" s="4">
        <v>42767</v>
      </c>
      <c r="I306" s="5">
        <f t="shared" si="4"/>
        <v>2017</v>
      </c>
      <c r="J306" s="2" t="s">
        <v>37</v>
      </c>
      <c r="K306" s="2">
        <v>305</v>
      </c>
      <c r="L306" s="2">
        <v>13673</v>
      </c>
    </row>
    <row r="307" spans="1:12" x14ac:dyDescent="0.35">
      <c r="A307" s="2">
        <v>321</v>
      </c>
      <c r="B307" s="2">
        <v>204</v>
      </c>
      <c r="C307" s="2" t="s">
        <v>29</v>
      </c>
      <c r="D307" s="2" t="s">
        <v>115</v>
      </c>
      <c r="E307" s="2" t="s">
        <v>63</v>
      </c>
      <c r="F307" s="3">
        <v>42775</v>
      </c>
      <c r="G307" s="2" t="s">
        <v>28</v>
      </c>
      <c r="H307" s="4">
        <v>42775</v>
      </c>
      <c r="I307" s="5">
        <f t="shared" si="4"/>
        <v>2017</v>
      </c>
      <c r="J307" s="2" t="s">
        <v>54</v>
      </c>
      <c r="K307" s="2">
        <v>306</v>
      </c>
      <c r="L307" s="2">
        <v>13877</v>
      </c>
    </row>
    <row r="308" spans="1:12" x14ac:dyDescent="0.35">
      <c r="A308" s="2">
        <v>322</v>
      </c>
      <c r="B308" s="2">
        <v>38</v>
      </c>
      <c r="C308" s="2" t="s">
        <v>29</v>
      </c>
      <c r="D308" s="2" t="s">
        <v>115</v>
      </c>
      <c r="E308" s="2" t="s">
        <v>63</v>
      </c>
      <c r="F308" s="3">
        <v>42775</v>
      </c>
      <c r="G308" s="2" t="s">
        <v>28</v>
      </c>
      <c r="H308" s="4">
        <v>42775</v>
      </c>
      <c r="I308" s="5">
        <f t="shared" si="4"/>
        <v>2017</v>
      </c>
      <c r="J308" s="2" t="s">
        <v>54</v>
      </c>
      <c r="K308" s="2">
        <v>307</v>
      </c>
      <c r="L308" s="2">
        <v>13915</v>
      </c>
    </row>
    <row r="309" spans="1:12" x14ac:dyDescent="0.35">
      <c r="A309" s="2">
        <v>323</v>
      </c>
      <c r="B309" s="2">
        <v>0</v>
      </c>
      <c r="C309" s="2" t="s">
        <v>20</v>
      </c>
      <c r="D309" s="2" t="s">
        <v>114</v>
      </c>
      <c r="E309" s="2" t="s">
        <v>75</v>
      </c>
      <c r="F309" s="3">
        <v>42789</v>
      </c>
      <c r="G309" s="2" t="s">
        <v>28</v>
      </c>
      <c r="H309" s="4">
        <v>42789</v>
      </c>
      <c r="I309" s="5">
        <f t="shared" si="4"/>
        <v>2017</v>
      </c>
      <c r="J309" s="2" t="s">
        <v>54</v>
      </c>
      <c r="K309" s="2">
        <v>308</v>
      </c>
      <c r="L309" s="2">
        <v>13915</v>
      </c>
    </row>
    <row r="310" spans="1:12" x14ac:dyDescent="0.35">
      <c r="A310" s="2">
        <v>324</v>
      </c>
      <c r="B310" s="2">
        <v>13</v>
      </c>
      <c r="C310" s="2" t="s">
        <v>20</v>
      </c>
      <c r="D310" s="2" t="s">
        <v>114</v>
      </c>
      <c r="E310" s="2" t="s">
        <v>75</v>
      </c>
      <c r="F310" s="3">
        <v>42789</v>
      </c>
      <c r="G310" s="2" t="s">
        <v>28</v>
      </c>
      <c r="H310" s="4">
        <v>42789</v>
      </c>
      <c r="I310" s="5">
        <f t="shared" si="4"/>
        <v>2017</v>
      </c>
      <c r="J310" s="2" t="s">
        <v>54</v>
      </c>
      <c r="K310" s="2">
        <v>309</v>
      </c>
      <c r="L310" s="2">
        <v>13928</v>
      </c>
    </row>
    <row r="311" spans="1:12" x14ac:dyDescent="0.35">
      <c r="A311" s="2">
        <v>325</v>
      </c>
      <c r="B311" s="2">
        <v>12</v>
      </c>
      <c r="C311" s="2" t="s">
        <v>20</v>
      </c>
      <c r="D311" s="2" t="s">
        <v>114</v>
      </c>
      <c r="E311" s="2" t="s">
        <v>41</v>
      </c>
      <c r="F311" s="3">
        <v>42798</v>
      </c>
      <c r="G311" s="2" t="s">
        <v>28</v>
      </c>
      <c r="H311" s="4">
        <v>42798</v>
      </c>
      <c r="I311" s="5">
        <f t="shared" si="4"/>
        <v>2017</v>
      </c>
      <c r="J311" s="2" t="s">
        <v>54</v>
      </c>
      <c r="K311" s="2">
        <v>310</v>
      </c>
      <c r="L311" s="2">
        <v>13940</v>
      </c>
    </row>
    <row r="312" spans="1:12" x14ac:dyDescent="0.35">
      <c r="A312" s="2">
        <v>326</v>
      </c>
      <c r="B312" s="2">
        <v>15</v>
      </c>
      <c r="C312" s="2" t="s">
        <v>20</v>
      </c>
      <c r="D312" s="2" t="s">
        <v>114</v>
      </c>
      <c r="E312" s="2" t="s">
        <v>41</v>
      </c>
      <c r="F312" s="3">
        <v>42798</v>
      </c>
      <c r="G312" s="2" t="s">
        <v>28</v>
      </c>
      <c r="H312" s="4">
        <v>42798</v>
      </c>
      <c r="I312" s="5">
        <f t="shared" si="4"/>
        <v>2017</v>
      </c>
      <c r="J312" s="2" t="s">
        <v>54</v>
      </c>
      <c r="K312" s="2">
        <v>311</v>
      </c>
      <c r="L312" s="2">
        <v>13955</v>
      </c>
    </row>
    <row r="313" spans="1:12" x14ac:dyDescent="0.35">
      <c r="A313" s="2">
        <v>327</v>
      </c>
      <c r="B313" s="2">
        <v>6</v>
      </c>
      <c r="C313" s="2" t="s">
        <v>20</v>
      </c>
      <c r="D313" s="2" t="s">
        <v>114</v>
      </c>
      <c r="E313" s="2" t="s">
        <v>77</v>
      </c>
      <c r="F313" s="3">
        <v>42810</v>
      </c>
      <c r="G313" s="2" t="s">
        <v>28</v>
      </c>
      <c r="H313" s="4">
        <v>42810</v>
      </c>
      <c r="I313" s="5">
        <f t="shared" si="4"/>
        <v>2017</v>
      </c>
      <c r="J313" s="2" t="s">
        <v>54</v>
      </c>
      <c r="K313" s="2">
        <v>312</v>
      </c>
      <c r="L313" s="2">
        <v>13961</v>
      </c>
    </row>
    <row r="314" spans="1:12" x14ac:dyDescent="0.35">
      <c r="A314" s="2">
        <v>328</v>
      </c>
      <c r="B314" s="2">
        <v>81</v>
      </c>
      <c r="C314" s="2" t="s">
        <v>16</v>
      </c>
      <c r="D314" s="2" t="s">
        <v>112</v>
      </c>
      <c r="E314" s="2" t="s">
        <v>79</v>
      </c>
      <c r="F314" s="3">
        <v>42890</v>
      </c>
      <c r="G314" s="2" t="s">
        <v>35</v>
      </c>
      <c r="H314" s="4">
        <v>42890</v>
      </c>
      <c r="I314" s="5">
        <f t="shared" si="4"/>
        <v>2017</v>
      </c>
      <c r="J314" s="2" t="s">
        <v>14</v>
      </c>
      <c r="K314" s="2">
        <v>313</v>
      </c>
      <c r="L314" s="2">
        <v>14042</v>
      </c>
    </row>
    <row r="315" spans="1:12" x14ac:dyDescent="0.35">
      <c r="A315" s="2">
        <v>329</v>
      </c>
      <c r="B315" s="2">
        <v>0</v>
      </c>
      <c r="C315" s="2" t="s">
        <v>11</v>
      </c>
      <c r="D315" s="2" t="s">
        <v>111</v>
      </c>
      <c r="E315" s="2" t="s">
        <v>60</v>
      </c>
      <c r="F315" s="3">
        <v>42894</v>
      </c>
      <c r="G315" s="2" t="s">
        <v>35</v>
      </c>
      <c r="H315" s="4">
        <v>42894</v>
      </c>
      <c r="I315" s="5">
        <f t="shared" si="4"/>
        <v>2017</v>
      </c>
      <c r="J315" s="2" t="s">
        <v>14</v>
      </c>
      <c r="K315" s="2">
        <v>314</v>
      </c>
      <c r="L315" s="2">
        <v>14042</v>
      </c>
    </row>
    <row r="316" spans="1:12" x14ac:dyDescent="0.35">
      <c r="A316" s="2">
        <v>330</v>
      </c>
      <c r="B316" s="2">
        <v>76</v>
      </c>
      <c r="C316" s="2" t="s">
        <v>30</v>
      </c>
      <c r="D316" s="2" t="s">
        <v>116</v>
      </c>
      <c r="E316" s="2" t="s">
        <v>60</v>
      </c>
      <c r="F316" s="3">
        <v>42897</v>
      </c>
      <c r="G316" s="2" t="s">
        <v>35</v>
      </c>
      <c r="H316" s="4">
        <v>42897</v>
      </c>
      <c r="I316" s="5">
        <f t="shared" si="4"/>
        <v>2017</v>
      </c>
      <c r="J316" s="2" t="s">
        <v>14</v>
      </c>
      <c r="K316" s="2">
        <v>315</v>
      </c>
      <c r="L316" s="2">
        <v>14118</v>
      </c>
    </row>
    <row r="317" spans="1:12" x14ac:dyDescent="0.35">
      <c r="A317" s="2">
        <v>331</v>
      </c>
      <c r="B317" s="2">
        <v>96</v>
      </c>
      <c r="C317" s="2" t="s">
        <v>29</v>
      </c>
      <c r="D317" s="2" t="s">
        <v>115</v>
      </c>
      <c r="E317" s="2" t="s">
        <v>79</v>
      </c>
      <c r="F317" s="3">
        <v>42901</v>
      </c>
      <c r="G317" s="2" t="s">
        <v>35</v>
      </c>
      <c r="H317" s="4">
        <v>42901</v>
      </c>
      <c r="I317" s="5">
        <f t="shared" si="4"/>
        <v>2017</v>
      </c>
      <c r="J317" s="2" t="s">
        <v>14</v>
      </c>
      <c r="K317" s="2">
        <v>316</v>
      </c>
      <c r="L317" s="2">
        <v>14214</v>
      </c>
    </row>
    <row r="318" spans="1:12" x14ac:dyDescent="0.35">
      <c r="A318" s="2">
        <v>332</v>
      </c>
      <c r="B318" s="2">
        <v>5</v>
      </c>
      <c r="C318" s="2" t="s">
        <v>16</v>
      </c>
      <c r="D318" s="2" t="s">
        <v>112</v>
      </c>
      <c r="E318" s="2" t="s">
        <v>60</v>
      </c>
      <c r="F318" s="3">
        <v>42904</v>
      </c>
      <c r="G318" s="2" t="s">
        <v>35</v>
      </c>
      <c r="H318" s="4">
        <v>42904</v>
      </c>
      <c r="I318" s="5">
        <f t="shared" si="4"/>
        <v>2017</v>
      </c>
      <c r="J318" s="2" t="s">
        <v>14</v>
      </c>
      <c r="K318" s="2">
        <v>317</v>
      </c>
      <c r="L318" s="2">
        <v>14219</v>
      </c>
    </row>
    <row r="319" spans="1:12" x14ac:dyDescent="0.35">
      <c r="A319" s="2">
        <v>333</v>
      </c>
      <c r="B319" s="2">
        <v>32</v>
      </c>
      <c r="C319" s="2" t="s">
        <v>18</v>
      </c>
      <c r="D319" s="2" t="s">
        <v>113</v>
      </c>
      <c r="E319" s="2" t="s">
        <v>51</v>
      </c>
      <c r="F319" s="3">
        <v>42909</v>
      </c>
      <c r="G319" s="2" t="s">
        <v>35</v>
      </c>
      <c r="H319" s="4">
        <v>42909</v>
      </c>
      <c r="I319" s="5">
        <f t="shared" si="4"/>
        <v>2017</v>
      </c>
      <c r="J319" s="2" t="s">
        <v>14</v>
      </c>
      <c r="K319" s="2">
        <v>318</v>
      </c>
      <c r="L319" s="2">
        <v>14251</v>
      </c>
    </row>
    <row r="320" spans="1:12" x14ac:dyDescent="0.35">
      <c r="A320" s="2">
        <v>334</v>
      </c>
      <c r="B320" s="2">
        <v>87</v>
      </c>
      <c r="C320" s="2" t="s">
        <v>18</v>
      </c>
      <c r="D320" s="2" t="s">
        <v>113</v>
      </c>
      <c r="E320" s="2" t="s">
        <v>51</v>
      </c>
      <c r="F320" s="3">
        <v>42911</v>
      </c>
      <c r="G320" s="2" t="s">
        <v>35</v>
      </c>
      <c r="H320" s="4">
        <v>42911</v>
      </c>
      <c r="I320" s="5">
        <f t="shared" si="4"/>
        <v>2017</v>
      </c>
      <c r="J320" s="2" t="s">
        <v>14</v>
      </c>
      <c r="K320" s="2">
        <v>319</v>
      </c>
      <c r="L320" s="2">
        <v>14338</v>
      </c>
    </row>
    <row r="321" spans="1:12" x14ac:dyDescent="0.35">
      <c r="A321" s="2">
        <v>335</v>
      </c>
      <c r="B321" s="2">
        <v>11</v>
      </c>
      <c r="C321" s="2" t="s">
        <v>18</v>
      </c>
      <c r="D321" s="2" t="s">
        <v>113</v>
      </c>
      <c r="E321" s="2" t="s">
        <v>52</v>
      </c>
      <c r="F321" s="3">
        <v>42916</v>
      </c>
      <c r="G321" s="2" t="s">
        <v>35</v>
      </c>
      <c r="H321" s="4">
        <v>42916</v>
      </c>
      <c r="I321" s="5">
        <f t="shared" si="4"/>
        <v>2017</v>
      </c>
      <c r="J321" s="2" t="s">
        <v>14</v>
      </c>
      <c r="K321" s="2">
        <v>320</v>
      </c>
      <c r="L321" s="2">
        <v>14349</v>
      </c>
    </row>
    <row r="322" spans="1:12" x14ac:dyDescent="0.35">
      <c r="A322" s="2">
        <v>336</v>
      </c>
      <c r="B322" s="2">
        <v>3</v>
      </c>
      <c r="C322" s="2" t="s">
        <v>18</v>
      </c>
      <c r="D322" s="2" t="s">
        <v>113</v>
      </c>
      <c r="E322" s="2" t="s">
        <v>52</v>
      </c>
      <c r="F322" s="3">
        <v>42918</v>
      </c>
      <c r="G322" s="2" t="s">
        <v>13</v>
      </c>
      <c r="H322" s="4">
        <v>42918</v>
      </c>
      <c r="I322" s="5">
        <f t="shared" si="4"/>
        <v>2017</v>
      </c>
      <c r="J322" s="2" t="s">
        <v>14</v>
      </c>
      <c r="K322" s="2">
        <v>321</v>
      </c>
      <c r="L322" s="2">
        <v>14352</v>
      </c>
    </row>
    <row r="323" spans="1:12" x14ac:dyDescent="0.35">
      <c r="A323" s="2">
        <v>337</v>
      </c>
      <c r="B323" s="2">
        <v>111</v>
      </c>
      <c r="C323" s="2" t="s">
        <v>18</v>
      </c>
      <c r="D323" s="2" t="s">
        <v>113</v>
      </c>
      <c r="E323" s="2" t="s">
        <v>53</v>
      </c>
      <c r="F323" s="3">
        <v>42922</v>
      </c>
      <c r="G323" s="2" t="s">
        <v>13</v>
      </c>
      <c r="H323" s="4">
        <v>42922</v>
      </c>
      <c r="I323" s="5">
        <f t="shared" ref="I323:I386" si="5">YEAR(F323)</f>
        <v>2017</v>
      </c>
      <c r="J323" s="2" t="s">
        <v>14</v>
      </c>
      <c r="K323" s="2">
        <v>322</v>
      </c>
      <c r="L323" s="2">
        <v>14463</v>
      </c>
    </row>
    <row r="324" spans="1:12" x14ac:dyDescent="0.35">
      <c r="A324" s="2">
        <v>338</v>
      </c>
      <c r="B324" s="2">
        <v>39</v>
      </c>
      <c r="C324" s="2" t="s">
        <v>18</v>
      </c>
      <c r="D324" s="2" t="s">
        <v>113</v>
      </c>
      <c r="E324" s="2" t="s">
        <v>53</v>
      </c>
      <c r="F324" s="3">
        <v>42925</v>
      </c>
      <c r="G324" s="2" t="s">
        <v>13</v>
      </c>
      <c r="H324" s="4">
        <v>42925</v>
      </c>
      <c r="I324" s="5">
        <f t="shared" si="5"/>
        <v>2017</v>
      </c>
      <c r="J324" s="2" t="s">
        <v>37</v>
      </c>
      <c r="K324" s="2">
        <v>323</v>
      </c>
      <c r="L324" s="2">
        <v>14502</v>
      </c>
    </row>
    <row r="325" spans="1:12" x14ac:dyDescent="0.35">
      <c r="A325" s="2">
        <v>339</v>
      </c>
      <c r="B325" s="2">
        <v>3</v>
      </c>
      <c r="C325" s="2" t="s">
        <v>11</v>
      </c>
      <c r="D325" s="2" t="s">
        <v>111</v>
      </c>
      <c r="E325" s="2" t="s">
        <v>89</v>
      </c>
      <c r="F325" s="3">
        <v>42942</v>
      </c>
      <c r="G325" s="2" t="s">
        <v>13</v>
      </c>
      <c r="H325" s="4">
        <v>42942</v>
      </c>
      <c r="I325" s="5">
        <f t="shared" si="5"/>
        <v>2017</v>
      </c>
      <c r="J325" s="2" t="s">
        <v>54</v>
      </c>
      <c r="K325" s="2">
        <v>324</v>
      </c>
      <c r="L325" s="2">
        <v>14505</v>
      </c>
    </row>
    <row r="326" spans="1:12" x14ac:dyDescent="0.35">
      <c r="A326" s="2">
        <v>340</v>
      </c>
      <c r="B326" s="2">
        <v>103</v>
      </c>
      <c r="C326" s="2" t="s">
        <v>11</v>
      </c>
      <c r="D326" s="2" t="s">
        <v>111</v>
      </c>
      <c r="E326" s="2" t="s">
        <v>89</v>
      </c>
      <c r="F326" s="3">
        <v>42942</v>
      </c>
      <c r="G326" s="2" t="s">
        <v>13</v>
      </c>
      <c r="H326" s="4">
        <v>42942</v>
      </c>
      <c r="I326" s="5">
        <f t="shared" si="5"/>
        <v>2017</v>
      </c>
      <c r="J326" s="2" t="s">
        <v>54</v>
      </c>
      <c r="K326" s="2">
        <v>325</v>
      </c>
      <c r="L326" s="2">
        <v>14608</v>
      </c>
    </row>
    <row r="327" spans="1:12" x14ac:dyDescent="0.35">
      <c r="A327" s="2">
        <v>341</v>
      </c>
      <c r="B327" s="2">
        <v>13</v>
      </c>
      <c r="C327" s="2" t="s">
        <v>11</v>
      </c>
      <c r="D327" s="2" t="s">
        <v>111</v>
      </c>
      <c r="E327" s="2" t="s">
        <v>91</v>
      </c>
      <c r="F327" s="3">
        <v>42950</v>
      </c>
      <c r="G327" s="2" t="s">
        <v>13</v>
      </c>
      <c r="H327" s="4">
        <v>42950</v>
      </c>
      <c r="I327" s="5">
        <f t="shared" si="5"/>
        <v>2017</v>
      </c>
      <c r="J327" s="2" t="s">
        <v>54</v>
      </c>
      <c r="K327" s="2">
        <v>326</v>
      </c>
      <c r="L327" s="2">
        <v>14621</v>
      </c>
    </row>
    <row r="328" spans="1:12" x14ac:dyDescent="0.35">
      <c r="A328" s="2">
        <v>342</v>
      </c>
      <c r="B328" s="2">
        <v>42</v>
      </c>
      <c r="C328" s="2" t="s">
        <v>11</v>
      </c>
      <c r="D328" s="2" t="s">
        <v>111</v>
      </c>
      <c r="E328" s="2" t="s">
        <v>73</v>
      </c>
      <c r="F328" s="3">
        <v>42959</v>
      </c>
      <c r="G328" s="2" t="s">
        <v>13</v>
      </c>
      <c r="H328" s="4">
        <v>42959</v>
      </c>
      <c r="I328" s="5">
        <f t="shared" si="5"/>
        <v>2017</v>
      </c>
      <c r="J328" s="2" t="s">
        <v>54</v>
      </c>
      <c r="K328" s="2">
        <v>327</v>
      </c>
      <c r="L328" s="2">
        <v>14663</v>
      </c>
    </row>
    <row r="329" spans="1:12" x14ac:dyDescent="0.35">
      <c r="A329" s="2">
        <v>343</v>
      </c>
      <c r="B329" s="2">
        <v>82</v>
      </c>
      <c r="C329" s="2" t="s">
        <v>11</v>
      </c>
      <c r="D329" s="2" t="s">
        <v>111</v>
      </c>
      <c r="E329" s="2" t="s">
        <v>12</v>
      </c>
      <c r="F329" s="3">
        <v>42967</v>
      </c>
      <c r="G329" s="2" t="s">
        <v>13</v>
      </c>
      <c r="H329" s="4">
        <v>42967</v>
      </c>
      <c r="I329" s="5">
        <f t="shared" si="5"/>
        <v>2017</v>
      </c>
      <c r="J329" s="2" t="s">
        <v>14</v>
      </c>
      <c r="K329" s="2">
        <v>328</v>
      </c>
      <c r="L329" s="2">
        <v>14745</v>
      </c>
    </row>
    <row r="330" spans="1:12" x14ac:dyDescent="0.35">
      <c r="A330" s="2">
        <v>344</v>
      </c>
      <c r="B330" s="2">
        <v>4</v>
      </c>
      <c r="C330" s="2" t="s">
        <v>11</v>
      </c>
      <c r="D330" s="2" t="s">
        <v>111</v>
      </c>
      <c r="E330" s="2" t="s">
        <v>73</v>
      </c>
      <c r="F330" s="3">
        <v>42971</v>
      </c>
      <c r="G330" s="2" t="s">
        <v>13</v>
      </c>
      <c r="H330" s="4">
        <v>42971</v>
      </c>
      <c r="I330" s="5">
        <f t="shared" si="5"/>
        <v>2017</v>
      </c>
      <c r="J330" s="2" t="s">
        <v>14</v>
      </c>
      <c r="K330" s="2">
        <v>329</v>
      </c>
      <c r="L330" s="2">
        <v>14749</v>
      </c>
    </row>
    <row r="331" spans="1:12" x14ac:dyDescent="0.35">
      <c r="A331" s="2">
        <v>345</v>
      </c>
      <c r="B331" s="2">
        <v>3</v>
      </c>
      <c r="C331" s="2" t="s">
        <v>11</v>
      </c>
      <c r="D331" s="2" t="s">
        <v>111</v>
      </c>
      <c r="E331" s="2" t="s">
        <v>73</v>
      </c>
      <c r="F331" s="3">
        <v>42974</v>
      </c>
      <c r="G331" s="2" t="s">
        <v>13</v>
      </c>
      <c r="H331" s="4">
        <v>42974</v>
      </c>
      <c r="I331" s="5">
        <f t="shared" si="5"/>
        <v>2017</v>
      </c>
      <c r="J331" s="2" t="s">
        <v>14</v>
      </c>
      <c r="K331" s="2">
        <v>330</v>
      </c>
      <c r="L331" s="2">
        <v>14752</v>
      </c>
    </row>
    <row r="332" spans="1:12" x14ac:dyDescent="0.35">
      <c r="A332" s="2">
        <v>346</v>
      </c>
      <c r="B332" s="2">
        <v>131</v>
      </c>
      <c r="C332" s="2" t="s">
        <v>11</v>
      </c>
      <c r="D332" s="2" t="s">
        <v>111</v>
      </c>
      <c r="E332" s="2" t="s">
        <v>15</v>
      </c>
      <c r="F332" s="3">
        <v>42978</v>
      </c>
      <c r="G332" s="2" t="s">
        <v>13</v>
      </c>
      <c r="H332" s="4">
        <v>42978</v>
      </c>
      <c r="I332" s="5">
        <f t="shared" si="5"/>
        <v>2017</v>
      </c>
      <c r="J332" s="2" t="s">
        <v>14</v>
      </c>
      <c r="K332" s="2">
        <v>331</v>
      </c>
      <c r="L332" s="2">
        <v>14883</v>
      </c>
    </row>
    <row r="333" spans="1:12" x14ac:dyDescent="0.35">
      <c r="A333" s="2">
        <v>347</v>
      </c>
      <c r="B333" s="2">
        <v>110</v>
      </c>
      <c r="C333" s="2" t="s">
        <v>11</v>
      </c>
      <c r="D333" s="2" t="s">
        <v>111</v>
      </c>
      <c r="E333" s="2" t="s">
        <v>15</v>
      </c>
      <c r="F333" s="3">
        <v>42981</v>
      </c>
      <c r="G333" s="2" t="s">
        <v>13</v>
      </c>
      <c r="H333" s="4">
        <v>42981</v>
      </c>
      <c r="I333" s="5">
        <f t="shared" si="5"/>
        <v>2017</v>
      </c>
      <c r="J333" s="2" t="s">
        <v>14</v>
      </c>
      <c r="K333" s="2">
        <v>332</v>
      </c>
      <c r="L333" s="2">
        <v>14993</v>
      </c>
    </row>
    <row r="334" spans="1:12" x14ac:dyDescent="0.35">
      <c r="A334" s="2">
        <v>348</v>
      </c>
      <c r="B334" s="2">
        <v>82</v>
      </c>
      <c r="C334" s="2" t="s">
        <v>11</v>
      </c>
      <c r="D334" s="2" t="s">
        <v>111</v>
      </c>
      <c r="E334" s="2" t="s">
        <v>15</v>
      </c>
      <c r="F334" s="3">
        <v>42984</v>
      </c>
      <c r="G334" s="2" t="s">
        <v>13</v>
      </c>
      <c r="H334" s="4">
        <v>42984</v>
      </c>
      <c r="I334" s="5">
        <f t="shared" si="5"/>
        <v>2017</v>
      </c>
      <c r="J334" s="2" t="s">
        <v>37</v>
      </c>
      <c r="K334" s="2">
        <v>333</v>
      </c>
      <c r="L334" s="2">
        <v>15075</v>
      </c>
    </row>
    <row r="335" spans="1:12" x14ac:dyDescent="0.35">
      <c r="A335" s="2">
        <v>349</v>
      </c>
      <c r="B335" s="2">
        <v>0</v>
      </c>
      <c r="C335" s="2" t="s">
        <v>20</v>
      </c>
      <c r="D335" s="2" t="s">
        <v>114</v>
      </c>
      <c r="E335" s="2" t="s">
        <v>42</v>
      </c>
      <c r="F335" s="3">
        <v>42995</v>
      </c>
      <c r="G335" s="2" t="s">
        <v>13</v>
      </c>
      <c r="H335" s="4">
        <v>42995</v>
      </c>
      <c r="I335" s="5">
        <f t="shared" si="5"/>
        <v>2017</v>
      </c>
      <c r="J335" s="2" t="s">
        <v>14</v>
      </c>
      <c r="K335" s="2">
        <v>334</v>
      </c>
      <c r="L335" s="2">
        <v>15075</v>
      </c>
    </row>
    <row r="336" spans="1:12" x14ac:dyDescent="0.35">
      <c r="A336" s="2">
        <v>350</v>
      </c>
      <c r="B336" s="2">
        <v>92</v>
      </c>
      <c r="C336" s="2" t="s">
        <v>20</v>
      </c>
      <c r="D336" s="2" t="s">
        <v>114</v>
      </c>
      <c r="E336" s="2" t="s">
        <v>26</v>
      </c>
      <c r="F336" s="3">
        <v>42999</v>
      </c>
      <c r="G336" s="2" t="s">
        <v>13</v>
      </c>
      <c r="H336" s="4">
        <v>42999</v>
      </c>
      <c r="I336" s="5">
        <f t="shared" si="5"/>
        <v>2017</v>
      </c>
      <c r="J336" s="2" t="s">
        <v>14</v>
      </c>
      <c r="K336" s="2">
        <v>335</v>
      </c>
      <c r="L336" s="2">
        <v>15167</v>
      </c>
    </row>
    <row r="337" spans="1:12" x14ac:dyDescent="0.35">
      <c r="A337" s="2">
        <v>351</v>
      </c>
      <c r="B337" s="2">
        <v>28</v>
      </c>
      <c r="C337" s="2" t="s">
        <v>20</v>
      </c>
      <c r="D337" s="2" t="s">
        <v>114</v>
      </c>
      <c r="E337" s="2" t="s">
        <v>65</v>
      </c>
      <c r="F337" s="3">
        <v>43002</v>
      </c>
      <c r="G337" s="2" t="s">
        <v>13</v>
      </c>
      <c r="H337" s="4">
        <v>43002</v>
      </c>
      <c r="I337" s="5">
        <f t="shared" si="5"/>
        <v>2017</v>
      </c>
      <c r="J337" s="2" t="s">
        <v>14</v>
      </c>
      <c r="K337" s="2">
        <v>336</v>
      </c>
      <c r="L337" s="2">
        <v>15195</v>
      </c>
    </row>
    <row r="338" spans="1:12" x14ac:dyDescent="0.35">
      <c r="A338" s="2">
        <v>352</v>
      </c>
      <c r="B338" s="2">
        <v>21</v>
      </c>
      <c r="C338" s="2" t="s">
        <v>20</v>
      </c>
      <c r="D338" s="2" t="s">
        <v>114</v>
      </c>
      <c r="E338" s="2" t="s">
        <v>41</v>
      </c>
      <c r="F338" s="3">
        <v>43006</v>
      </c>
      <c r="G338" s="2" t="s">
        <v>13</v>
      </c>
      <c r="H338" s="4">
        <v>43006</v>
      </c>
      <c r="I338" s="5">
        <f t="shared" si="5"/>
        <v>2017</v>
      </c>
      <c r="J338" s="2" t="s">
        <v>14</v>
      </c>
      <c r="K338" s="2">
        <v>337</v>
      </c>
      <c r="L338" s="2">
        <v>15216</v>
      </c>
    </row>
    <row r="339" spans="1:12" x14ac:dyDescent="0.35">
      <c r="A339" s="2">
        <v>353</v>
      </c>
      <c r="B339" s="2">
        <v>39</v>
      </c>
      <c r="C339" s="2" t="s">
        <v>20</v>
      </c>
      <c r="D339" s="2" t="s">
        <v>114</v>
      </c>
      <c r="E339" s="2" t="s">
        <v>25</v>
      </c>
      <c r="F339" s="3">
        <v>43009</v>
      </c>
      <c r="G339" s="2" t="s">
        <v>22</v>
      </c>
      <c r="H339" s="4">
        <v>43009</v>
      </c>
      <c r="I339" s="5">
        <f t="shared" si="5"/>
        <v>2017</v>
      </c>
      <c r="J339" s="2" t="s">
        <v>14</v>
      </c>
      <c r="K339" s="2">
        <v>338</v>
      </c>
      <c r="L339" s="2">
        <v>15255</v>
      </c>
    </row>
    <row r="340" spans="1:12" x14ac:dyDescent="0.35">
      <c r="A340" s="2">
        <v>354</v>
      </c>
      <c r="B340" s="2">
        <v>22</v>
      </c>
      <c r="C340" s="2" t="s">
        <v>20</v>
      </c>
      <c r="D340" s="2" t="s">
        <v>114</v>
      </c>
      <c r="E340" s="2" t="s">
        <v>77</v>
      </c>
      <c r="F340" s="3">
        <v>43015</v>
      </c>
      <c r="G340" s="2" t="s">
        <v>22</v>
      </c>
      <c r="H340" s="4">
        <v>43015</v>
      </c>
      <c r="I340" s="5">
        <f t="shared" si="5"/>
        <v>2017</v>
      </c>
      <c r="J340" s="2" t="s">
        <v>37</v>
      </c>
      <c r="K340" s="2">
        <v>339</v>
      </c>
      <c r="L340" s="2">
        <v>15277</v>
      </c>
    </row>
    <row r="341" spans="1:12" x14ac:dyDescent="0.35">
      <c r="A341" s="2">
        <v>355</v>
      </c>
      <c r="B341" s="2">
        <v>0</v>
      </c>
      <c r="C341" s="2" t="s">
        <v>20</v>
      </c>
      <c r="D341" s="2" t="s">
        <v>114</v>
      </c>
      <c r="E341" s="2" t="s">
        <v>40</v>
      </c>
      <c r="F341" s="3">
        <v>43018</v>
      </c>
      <c r="G341" s="2" t="s">
        <v>22</v>
      </c>
      <c r="H341" s="4">
        <v>43018</v>
      </c>
      <c r="I341" s="5">
        <f t="shared" si="5"/>
        <v>2017</v>
      </c>
      <c r="J341" s="2" t="s">
        <v>37</v>
      </c>
      <c r="K341" s="2">
        <v>340</v>
      </c>
      <c r="L341" s="2">
        <v>15277</v>
      </c>
    </row>
    <row r="342" spans="1:12" x14ac:dyDescent="0.35">
      <c r="A342" s="2">
        <v>356</v>
      </c>
      <c r="B342" s="2">
        <v>121</v>
      </c>
      <c r="C342" s="2" t="s">
        <v>38</v>
      </c>
      <c r="D342" s="2" t="s">
        <v>118</v>
      </c>
      <c r="E342" s="2" t="s">
        <v>50</v>
      </c>
      <c r="F342" s="3">
        <v>43030</v>
      </c>
      <c r="G342" s="2" t="s">
        <v>22</v>
      </c>
      <c r="H342" s="4">
        <v>43030</v>
      </c>
      <c r="I342" s="5">
        <f t="shared" si="5"/>
        <v>2017</v>
      </c>
      <c r="J342" s="2" t="s">
        <v>14</v>
      </c>
      <c r="K342" s="2">
        <v>341</v>
      </c>
      <c r="L342" s="2">
        <v>15398</v>
      </c>
    </row>
    <row r="343" spans="1:12" x14ac:dyDescent="0.35">
      <c r="A343" s="2">
        <v>357</v>
      </c>
      <c r="B343" s="2">
        <v>29</v>
      </c>
      <c r="C343" s="2" t="s">
        <v>38</v>
      </c>
      <c r="D343" s="2" t="s">
        <v>118</v>
      </c>
      <c r="E343" s="2" t="s">
        <v>75</v>
      </c>
      <c r="F343" s="3">
        <v>43033</v>
      </c>
      <c r="G343" s="2" t="s">
        <v>22</v>
      </c>
      <c r="H343" s="4">
        <v>43033</v>
      </c>
      <c r="I343" s="5">
        <f t="shared" si="5"/>
        <v>2017</v>
      </c>
      <c r="J343" s="2" t="s">
        <v>14</v>
      </c>
      <c r="K343" s="2">
        <v>342</v>
      </c>
      <c r="L343" s="2">
        <v>15427</v>
      </c>
    </row>
    <row r="344" spans="1:12" x14ac:dyDescent="0.35">
      <c r="A344" s="2">
        <v>358</v>
      </c>
      <c r="B344" s="2">
        <v>113</v>
      </c>
      <c r="C344" s="2" t="s">
        <v>38</v>
      </c>
      <c r="D344" s="2" t="s">
        <v>118</v>
      </c>
      <c r="E344" s="2" t="s">
        <v>80</v>
      </c>
      <c r="F344" s="3">
        <v>43037</v>
      </c>
      <c r="G344" s="2" t="s">
        <v>22</v>
      </c>
      <c r="H344" s="4">
        <v>43037</v>
      </c>
      <c r="I344" s="5">
        <f t="shared" si="5"/>
        <v>2017</v>
      </c>
      <c r="J344" s="2" t="s">
        <v>14</v>
      </c>
      <c r="K344" s="2">
        <v>343</v>
      </c>
      <c r="L344" s="2">
        <v>15540</v>
      </c>
    </row>
    <row r="345" spans="1:12" x14ac:dyDescent="0.35">
      <c r="A345" s="2">
        <v>359</v>
      </c>
      <c r="B345" s="2">
        <v>26</v>
      </c>
      <c r="C345" s="2" t="s">
        <v>38</v>
      </c>
      <c r="D345" s="2" t="s">
        <v>118</v>
      </c>
      <c r="E345" s="2" t="s">
        <v>49</v>
      </c>
      <c r="F345" s="3">
        <v>43040</v>
      </c>
      <c r="G345" s="2" t="s">
        <v>22</v>
      </c>
      <c r="H345" s="4">
        <v>43040</v>
      </c>
      <c r="I345" s="5">
        <f t="shared" si="5"/>
        <v>2017</v>
      </c>
      <c r="J345" s="2" t="s">
        <v>37</v>
      </c>
      <c r="K345" s="2">
        <v>344</v>
      </c>
      <c r="L345" s="2">
        <v>15566</v>
      </c>
    </row>
    <row r="346" spans="1:12" x14ac:dyDescent="0.35">
      <c r="A346" s="2">
        <v>360</v>
      </c>
      <c r="B346" s="2">
        <v>65</v>
      </c>
      <c r="C346" s="2" t="s">
        <v>38</v>
      </c>
      <c r="D346" s="2" t="s">
        <v>118</v>
      </c>
      <c r="E346" s="2" t="s">
        <v>24</v>
      </c>
      <c r="F346" s="3">
        <v>43043</v>
      </c>
      <c r="G346" s="2" t="s">
        <v>22</v>
      </c>
      <c r="H346" s="4">
        <v>43043</v>
      </c>
      <c r="I346" s="5">
        <f t="shared" si="5"/>
        <v>2017</v>
      </c>
      <c r="J346" s="2" t="s">
        <v>37</v>
      </c>
      <c r="K346" s="2">
        <v>345</v>
      </c>
      <c r="L346" s="2">
        <v>15631</v>
      </c>
    </row>
    <row r="347" spans="1:12" x14ac:dyDescent="0.35">
      <c r="A347" s="2">
        <v>361</v>
      </c>
      <c r="B347" s="2">
        <v>13</v>
      </c>
      <c r="C347" s="2" t="s">
        <v>38</v>
      </c>
      <c r="D347" s="2" t="s">
        <v>118</v>
      </c>
      <c r="E347" s="2" t="s">
        <v>95</v>
      </c>
      <c r="F347" s="3">
        <v>43046</v>
      </c>
      <c r="G347" s="2" t="s">
        <v>22</v>
      </c>
      <c r="H347" s="4">
        <v>43046</v>
      </c>
      <c r="I347" s="5">
        <f t="shared" si="5"/>
        <v>2017</v>
      </c>
      <c r="J347" s="2" t="s">
        <v>37</v>
      </c>
      <c r="K347" s="2">
        <v>346</v>
      </c>
      <c r="L347" s="2">
        <v>15644</v>
      </c>
    </row>
    <row r="348" spans="1:12" x14ac:dyDescent="0.35">
      <c r="A348" s="2">
        <v>362</v>
      </c>
      <c r="B348" s="2">
        <v>0</v>
      </c>
      <c r="C348" s="2" t="s">
        <v>11</v>
      </c>
      <c r="D348" s="2" t="s">
        <v>111</v>
      </c>
      <c r="E348" s="2" t="s">
        <v>26</v>
      </c>
      <c r="F348" s="3">
        <v>43055</v>
      </c>
      <c r="G348" s="2" t="s">
        <v>22</v>
      </c>
      <c r="H348" s="4">
        <v>43055</v>
      </c>
      <c r="I348" s="5">
        <f t="shared" si="5"/>
        <v>2017</v>
      </c>
      <c r="J348" s="2" t="s">
        <v>54</v>
      </c>
      <c r="K348" s="2">
        <v>347</v>
      </c>
      <c r="L348" s="2">
        <v>15644</v>
      </c>
    </row>
    <row r="349" spans="1:12" x14ac:dyDescent="0.35">
      <c r="A349" s="2">
        <v>363</v>
      </c>
      <c r="B349" s="2">
        <v>104</v>
      </c>
      <c r="C349" s="2" t="s">
        <v>11</v>
      </c>
      <c r="D349" s="2" t="s">
        <v>111</v>
      </c>
      <c r="E349" s="2" t="s">
        <v>26</v>
      </c>
      <c r="F349" s="3">
        <v>43055</v>
      </c>
      <c r="G349" s="2" t="s">
        <v>22</v>
      </c>
      <c r="H349" s="4">
        <v>43055</v>
      </c>
      <c r="I349" s="5">
        <f t="shared" si="5"/>
        <v>2017</v>
      </c>
      <c r="J349" s="2" t="s">
        <v>54</v>
      </c>
      <c r="K349" s="2">
        <v>348</v>
      </c>
      <c r="L349" s="2">
        <v>15748</v>
      </c>
    </row>
    <row r="350" spans="1:12" x14ac:dyDescent="0.35">
      <c r="A350" s="2">
        <v>364</v>
      </c>
      <c r="B350" s="2">
        <v>213</v>
      </c>
      <c r="C350" s="2" t="s">
        <v>11</v>
      </c>
      <c r="D350" s="2" t="s">
        <v>111</v>
      </c>
      <c r="E350" s="2" t="s">
        <v>25</v>
      </c>
      <c r="F350" s="3">
        <v>43063</v>
      </c>
      <c r="G350" s="2" t="s">
        <v>22</v>
      </c>
      <c r="H350" s="4">
        <v>43063</v>
      </c>
      <c r="I350" s="5">
        <f t="shared" si="5"/>
        <v>2017</v>
      </c>
      <c r="J350" s="2" t="s">
        <v>54</v>
      </c>
      <c r="K350" s="2">
        <v>349</v>
      </c>
      <c r="L350" s="2">
        <v>15961</v>
      </c>
    </row>
    <row r="351" spans="1:12" x14ac:dyDescent="0.35">
      <c r="A351" s="2">
        <v>365</v>
      </c>
      <c r="B351" s="2">
        <v>243</v>
      </c>
      <c r="C351" s="2" t="s">
        <v>11</v>
      </c>
      <c r="D351" s="2" t="s">
        <v>111</v>
      </c>
      <c r="E351" s="2" t="s">
        <v>49</v>
      </c>
      <c r="F351" s="3">
        <v>43071</v>
      </c>
      <c r="G351" s="2" t="s">
        <v>22</v>
      </c>
      <c r="H351" s="4">
        <v>43071</v>
      </c>
      <c r="I351" s="5">
        <f t="shared" si="5"/>
        <v>2017</v>
      </c>
      <c r="J351" s="2" t="s">
        <v>54</v>
      </c>
      <c r="K351" s="2">
        <v>350</v>
      </c>
      <c r="L351" s="2">
        <v>16204</v>
      </c>
    </row>
    <row r="352" spans="1:12" x14ac:dyDescent="0.35">
      <c r="A352" s="2">
        <v>366</v>
      </c>
      <c r="B352" s="2">
        <v>50</v>
      </c>
      <c r="C352" s="2" t="s">
        <v>11</v>
      </c>
      <c r="D352" s="2" t="s">
        <v>111</v>
      </c>
      <c r="E352" s="2" t="s">
        <v>49</v>
      </c>
      <c r="F352" s="3">
        <v>43071</v>
      </c>
      <c r="G352" s="2" t="s">
        <v>22</v>
      </c>
      <c r="H352" s="4">
        <v>43071</v>
      </c>
      <c r="I352" s="5">
        <f t="shared" si="5"/>
        <v>2017</v>
      </c>
      <c r="J352" s="2" t="s">
        <v>54</v>
      </c>
      <c r="K352" s="2">
        <v>351</v>
      </c>
      <c r="L352" s="2">
        <v>16254</v>
      </c>
    </row>
    <row r="353" spans="1:12" x14ac:dyDescent="0.35">
      <c r="A353" s="2">
        <v>367</v>
      </c>
      <c r="B353" s="2">
        <v>5</v>
      </c>
      <c r="C353" s="2" t="s">
        <v>30</v>
      </c>
      <c r="D353" s="2" t="s">
        <v>116</v>
      </c>
      <c r="E353" s="2" t="s">
        <v>44</v>
      </c>
      <c r="F353" s="3">
        <v>43105</v>
      </c>
      <c r="G353" s="2" t="s">
        <v>28</v>
      </c>
      <c r="H353" s="4">
        <v>43105</v>
      </c>
      <c r="I353" s="5">
        <f t="shared" si="5"/>
        <v>2018</v>
      </c>
      <c r="J353" s="2" t="s">
        <v>54</v>
      </c>
      <c r="K353" s="2">
        <v>352</v>
      </c>
      <c r="L353" s="2">
        <v>16259</v>
      </c>
    </row>
    <row r="354" spans="1:12" x14ac:dyDescent="0.35">
      <c r="A354" s="2">
        <v>368</v>
      </c>
      <c r="B354" s="2">
        <v>28</v>
      </c>
      <c r="C354" s="2" t="s">
        <v>30</v>
      </c>
      <c r="D354" s="2" t="s">
        <v>116</v>
      </c>
      <c r="E354" s="2" t="s">
        <v>44</v>
      </c>
      <c r="F354" s="3">
        <v>43105</v>
      </c>
      <c r="G354" s="2" t="s">
        <v>28</v>
      </c>
      <c r="H354" s="4">
        <v>43105</v>
      </c>
      <c r="I354" s="5">
        <f t="shared" si="5"/>
        <v>2018</v>
      </c>
      <c r="J354" s="2" t="s">
        <v>54</v>
      </c>
      <c r="K354" s="2">
        <v>353</v>
      </c>
      <c r="L354" s="2">
        <v>16287</v>
      </c>
    </row>
    <row r="355" spans="1:12" x14ac:dyDescent="0.35">
      <c r="A355" s="2">
        <v>369</v>
      </c>
      <c r="B355" s="2">
        <v>153</v>
      </c>
      <c r="C355" s="2" t="s">
        <v>30</v>
      </c>
      <c r="D355" s="2" t="s">
        <v>116</v>
      </c>
      <c r="E355" s="2" t="s">
        <v>17</v>
      </c>
      <c r="F355" s="3">
        <v>43113</v>
      </c>
      <c r="G355" s="2" t="s">
        <v>28</v>
      </c>
      <c r="H355" s="4">
        <v>43113</v>
      </c>
      <c r="I355" s="5">
        <f t="shared" si="5"/>
        <v>2018</v>
      </c>
      <c r="J355" s="2" t="s">
        <v>54</v>
      </c>
      <c r="K355" s="2">
        <v>354</v>
      </c>
      <c r="L355" s="2">
        <v>16440</v>
      </c>
    </row>
    <row r="356" spans="1:12" x14ac:dyDescent="0.35">
      <c r="A356" s="2">
        <v>370</v>
      </c>
      <c r="B356" s="2">
        <v>5</v>
      </c>
      <c r="C356" s="2" t="s">
        <v>30</v>
      </c>
      <c r="D356" s="2" t="s">
        <v>116</v>
      </c>
      <c r="E356" s="2" t="s">
        <v>17</v>
      </c>
      <c r="F356" s="3">
        <v>43113</v>
      </c>
      <c r="G356" s="2" t="s">
        <v>28</v>
      </c>
      <c r="H356" s="4">
        <v>43113</v>
      </c>
      <c r="I356" s="5">
        <f t="shared" si="5"/>
        <v>2018</v>
      </c>
      <c r="J356" s="2" t="s">
        <v>54</v>
      </c>
      <c r="K356" s="2">
        <v>355</v>
      </c>
      <c r="L356" s="2">
        <v>16445</v>
      </c>
    </row>
    <row r="357" spans="1:12" x14ac:dyDescent="0.35">
      <c r="A357" s="2">
        <v>371</v>
      </c>
      <c r="B357" s="2">
        <v>54</v>
      </c>
      <c r="C357" s="2" t="s">
        <v>30</v>
      </c>
      <c r="D357" s="2" t="s">
        <v>116</v>
      </c>
      <c r="E357" s="2" t="s">
        <v>19</v>
      </c>
      <c r="F357" s="3">
        <v>43124</v>
      </c>
      <c r="G357" s="2" t="s">
        <v>28</v>
      </c>
      <c r="H357" s="4">
        <v>43124</v>
      </c>
      <c r="I357" s="5">
        <f t="shared" si="5"/>
        <v>2018</v>
      </c>
      <c r="J357" s="2" t="s">
        <v>54</v>
      </c>
      <c r="K357" s="2">
        <v>356</v>
      </c>
      <c r="L357" s="2">
        <v>16499</v>
      </c>
    </row>
    <row r="358" spans="1:12" x14ac:dyDescent="0.35">
      <c r="A358" s="2">
        <v>372</v>
      </c>
      <c r="B358" s="2">
        <v>41</v>
      </c>
      <c r="C358" s="2" t="s">
        <v>30</v>
      </c>
      <c r="D358" s="2" t="s">
        <v>116</v>
      </c>
      <c r="E358" s="2" t="s">
        <v>19</v>
      </c>
      <c r="F358" s="3">
        <v>43124</v>
      </c>
      <c r="G358" s="2" t="s">
        <v>28</v>
      </c>
      <c r="H358" s="4">
        <v>43124</v>
      </c>
      <c r="I358" s="5">
        <f t="shared" si="5"/>
        <v>2018</v>
      </c>
      <c r="J358" s="2" t="s">
        <v>54</v>
      </c>
      <c r="K358" s="2">
        <v>357</v>
      </c>
      <c r="L358" s="2">
        <v>16540</v>
      </c>
    </row>
    <row r="359" spans="1:12" x14ac:dyDescent="0.35">
      <c r="A359" s="2">
        <v>373</v>
      </c>
      <c r="B359" s="2">
        <v>112</v>
      </c>
      <c r="C359" s="2" t="s">
        <v>30</v>
      </c>
      <c r="D359" s="2" t="s">
        <v>116</v>
      </c>
      <c r="E359" s="2" t="s">
        <v>43</v>
      </c>
      <c r="F359" s="3">
        <v>43132</v>
      </c>
      <c r="G359" s="2" t="s">
        <v>28</v>
      </c>
      <c r="H359" s="4">
        <v>43132</v>
      </c>
      <c r="I359" s="5">
        <f t="shared" si="5"/>
        <v>2018</v>
      </c>
      <c r="J359" s="2" t="s">
        <v>14</v>
      </c>
      <c r="K359" s="2">
        <v>358</v>
      </c>
      <c r="L359" s="2">
        <v>16652</v>
      </c>
    </row>
    <row r="360" spans="1:12" x14ac:dyDescent="0.35">
      <c r="A360" s="2">
        <v>374</v>
      </c>
      <c r="B360" s="2">
        <v>46</v>
      </c>
      <c r="C360" s="2" t="s">
        <v>30</v>
      </c>
      <c r="D360" s="2" t="s">
        <v>116</v>
      </c>
      <c r="E360" s="2" t="s">
        <v>17</v>
      </c>
      <c r="F360" s="3">
        <v>43135</v>
      </c>
      <c r="G360" s="2" t="s">
        <v>28</v>
      </c>
      <c r="H360" s="4">
        <v>43135</v>
      </c>
      <c r="I360" s="5">
        <f t="shared" si="5"/>
        <v>2018</v>
      </c>
      <c r="J360" s="2" t="s">
        <v>14</v>
      </c>
      <c r="K360" s="2">
        <v>359</v>
      </c>
      <c r="L360" s="2">
        <v>16698</v>
      </c>
    </row>
    <row r="361" spans="1:12" x14ac:dyDescent="0.35">
      <c r="A361" s="2">
        <v>375</v>
      </c>
      <c r="B361" s="2">
        <v>160</v>
      </c>
      <c r="C361" s="2" t="s">
        <v>30</v>
      </c>
      <c r="D361" s="2" t="s">
        <v>116</v>
      </c>
      <c r="E361" s="2" t="s">
        <v>44</v>
      </c>
      <c r="F361" s="3">
        <v>43138</v>
      </c>
      <c r="G361" s="2" t="s">
        <v>28</v>
      </c>
      <c r="H361" s="4">
        <v>43138</v>
      </c>
      <c r="I361" s="5">
        <f t="shared" si="5"/>
        <v>2018</v>
      </c>
      <c r="J361" s="2" t="s">
        <v>14</v>
      </c>
      <c r="K361" s="2">
        <v>360</v>
      </c>
      <c r="L361" s="2">
        <v>16858</v>
      </c>
    </row>
    <row r="362" spans="1:12" x14ac:dyDescent="0.35">
      <c r="A362" s="2">
        <v>376</v>
      </c>
      <c r="B362" s="2">
        <v>75</v>
      </c>
      <c r="C362" s="2" t="s">
        <v>30</v>
      </c>
      <c r="D362" s="2" t="s">
        <v>116</v>
      </c>
      <c r="E362" s="2" t="s">
        <v>19</v>
      </c>
      <c r="F362" s="3">
        <v>43141</v>
      </c>
      <c r="G362" s="2" t="s">
        <v>28</v>
      </c>
      <c r="H362" s="4">
        <v>43141</v>
      </c>
      <c r="I362" s="5">
        <f t="shared" si="5"/>
        <v>2018</v>
      </c>
      <c r="J362" s="2" t="s">
        <v>14</v>
      </c>
      <c r="K362" s="2">
        <v>361</v>
      </c>
      <c r="L362" s="2">
        <v>16933</v>
      </c>
    </row>
    <row r="363" spans="1:12" x14ac:dyDescent="0.35">
      <c r="A363" s="2">
        <v>377</v>
      </c>
      <c r="B363" s="2">
        <v>36</v>
      </c>
      <c r="C363" s="2" t="s">
        <v>30</v>
      </c>
      <c r="D363" s="2" t="s">
        <v>116</v>
      </c>
      <c r="E363" s="2" t="s">
        <v>45</v>
      </c>
      <c r="F363" s="3">
        <v>43144</v>
      </c>
      <c r="G363" s="2" t="s">
        <v>28</v>
      </c>
      <c r="H363" s="4">
        <v>43144</v>
      </c>
      <c r="I363" s="5">
        <f t="shared" si="5"/>
        <v>2018</v>
      </c>
      <c r="J363" s="2" t="s">
        <v>14</v>
      </c>
      <c r="K363" s="2">
        <v>362</v>
      </c>
      <c r="L363" s="2">
        <v>16969</v>
      </c>
    </row>
    <row r="364" spans="1:12" x14ac:dyDescent="0.35">
      <c r="A364" s="2">
        <v>378</v>
      </c>
      <c r="B364" s="2">
        <v>129</v>
      </c>
      <c r="C364" s="2" t="s">
        <v>30</v>
      </c>
      <c r="D364" s="2" t="s">
        <v>116</v>
      </c>
      <c r="E364" s="2" t="s">
        <v>17</v>
      </c>
      <c r="F364" s="3">
        <v>43147</v>
      </c>
      <c r="G364" s="2" t="s">
        <v>28</v>
      </c>
      <c r="H364" s="4">
        <v>43147</v>
      </c>
      <c r="I364" s="5">
        <f t="shared" si="5"/>
        <v>2018</v>
      </c>
      <c r="J364" s="2" t="s">
        <v>14</v>
      </c>
      <c r="K364" s="2">
        <v>363</v>
      </c>
      <c r="L364" s="2">
        <v>17098</v>
      </c>
    </row>
    <row r="365" spans="1:12" x14ac:dyDescent="0.35">
      <c r="A365" s="2">
        <v>379</v>
      </c>
      <c r="B365" s="2">
        <v>26</v>
      </c>
      <c r="C365" s="2" t="s">
        <v>30</v>
      </c>
      <c r="D365" s="2" t="s">
        <v>116</v>
      </c>
      <c r="E365" s="2" t="s">
        <v>19</v>
      </c>
      <c r="F365" s="3">
        <v>43149</v>
      </c>
      <c r="G365" s="2" t="s">
        <v>28</v>
      </c>
      <c r="H365" s="4">
        <v>43149</v>
      </c>
      <c r="I365" s="5">
        <f t="shared" si="5"/>
        <v>2018</v>
      </c>
      <c r="J365" s="2" t="s">
        <v>37</v>
      </c>
      <c r="K365" s="2">
        <v>364</v>
      </c>
      <c r="L365" s="2">
        <v>17124</v>
      </c>
    </row>
    <row r="366" spans="1:12" x14ac:dyDescent="0.35">
      <c r="A366" s="2">
        <v>380</v>
      </c>
      <c r="B366" s="2">
        <v>1</v>
      </c>
      <c r="C366" s="2" t="s">
        <v>30</v>
      </c>
      <c r="D366" s="2" t="s">
        <v>116</v>
      </c>
      <c r="E366" s="2" t="s">
        <v>17</v>
      </c>
      <c r="F366" s="3">
        <v>43152</v>
      </c>
      <c r="G366" s="2" t="s">
        <v>28</v>
      </c>
      <c r="H366" s="4">
        <v>43152</v>
      </c>
      <c r="I366" s="5">
        <f t="shared" si="5"/>
        <v>2018</v>
      </c>
      <c r="J366" s="2" t="s">
        <v>37</v>
      </c>
      <c r="K366" s="2">
        <v>365</v>
      </c>
      <c r="L366" s="2">
        <v>17125</v>
      </c>
    </row>
    <row r="367" spans="1:12" x14ac:dyDescent="0.35">
      <c r="A367" s="2">
        <v>381</v>
      </c>
      <c r="B367" s="2">
        <v>0</v>
      </c>
      <c r="C367" s="2" t="s">
        <v>47</v>
      </c>
      <c r="D367" s="2" t="s">
        <v>120</v>
      </c>
      <c r="E367" s="2" t="s">
        <v>96</v>
      </c>
      <c r="F367" s="3">
        <v>43278</v>
      </c>
      <c r="G367" s="2" t="s">
        <v>35</v>
      </c>
      <c r="H367" s="4">
        <v>43278</v>
      </c>
      <c r="I367" s="5">
        <f t="shared" si="5"/>
        <v>2018</v>
      </c>
      <c r="J367" s="2" t="s">
        <v>37</v>
      </c>
      <c r="K367" s="2">
        <v>366</v>
      </c>
      <c r="L367" s="2">
        <v>17125</v>
      </c>
    </row>
    <row r="368" spans="1:12" x14ac:dyDescent="0.35">
      <c r="A368" s="2">
        <v>382</v>
      </c>
      <c r="B368" s="2">
        <v>9</v>
      </c>
      <c r="C368" s="2" t="s">
        <v>47</v>
      </c>
      <c r="D368" s="2" t="s">
        <v>120</v>
      </c>
      <c r="E368" s="2" t="s">
        <v>96</v>
      </c>
      <c r="F368" s="3">
        <v>43280</v>
      </c>
      <c r="G368" s="2" t="s">
        <v>35</v>
      </c>
      <c r="H368" s="4">
        <v>43280</v>
      </c>
      <c r="I368" s="5">
        <f t="shared" si="5"/>
        <v>2018</v>
      </c>
      <c r="J368" s="2" t="s">
        <v>37</v>
      </c>
      <c r="K368" s="2">
        <v>367</v>
      </c>
      <c r="L368" s="2">
        <v>17134</v>
      </c>
    </row>
    <row r="369" spans="1:12" x14ac:dyDescent="0.35">
      <c r="A369" s="2">
        <v>383</v>
      </c>
      <c r="B369" s="2">
        <v>20</v>
      </c>
      <c r="C369" s="2" t="s">
        <v>46</v>
      </c>
      <c r="D369" s="2" t="s">
        <v>119</v>
      </c>
      <c r="E369" s="2" t="s">
        <v>57</v>
      </c>
      <c r="F369" s="3">
        <v>43284</v>
      </c>
      <c r="G369" s="2" t="s">
        <v>13</v>
      </c>
      <c r="H369" s="4">
        <v>43284</v>
      </c>
      <c r="I369" s="5">
        <f t="shared" si="5"/>
        <v>2018</v>
      </c>
      <c r="J369" s="2" t="s">
        <v>37</v>
      </c>
      <c r="K369" s="2">
        <v>368</v>
      </c>
      <c r="L369" s="2">
        <v>17154</v>
      </c>
    </row>
    <row r="370" spans="1:12" x14ac:dyDescent="0.35">
      <c r="A370" s="2">
        <v>384</v>
      </c>
      <c r="B370" s="2">
        <v>47</v>
      </c>
      <c r="C370" s="2" t="s">
        <v>46</v>
      </c>
      <c r="D370" s="2" t="s">
        <v>119</v>
      </c>
      <c r="E370" s="2" t="s">
        <v>62</v>
      </c>
      <c r="F370" s="3">
        <v>43287</v>
      </c>
      <c r="G370" s="2" t="s">
        <v>13</v>
      </c>
      <c r="H370" s="4">
        <v>43287</v>
      </c>
      <c r="I370" s="5">
        <f t="shared" si="5"/>
        <v>2018</v>
      </c>
      <c r="J370" s="2" t="s">
        <v>37</v>
      </c>
      <c r="K370" s="2">
        <v>369</v>
      </c>
      <c r="L370" s="2">
        <v>17201</v>
      </c>
    </row>
    <row r="371" spans="1:12" x14ac:dyDescent="0.35">
      <c r="A371" s="2">
        <v>385</v>
      </c>
      <c r="B371" s="2">
        <v>43</v>
      </c>
      <c r="C371" s="2" t="s">
        <v>46</v>
      </c>
      <c r="D371" s="2" t="s">
        <v>119</v>
      </c>
      <c r="E371" s="2" t="s">
        <v>97</v>
      </c>
      <c r="F371" s="3">
        <v>43289</v>
      </c>
      <c r="G371" s="2" t="s">
        <v>13</v>
      </c>
      <c r="H371" s="4">
        <v>43289</v>
      </c>
      <c r="I371" s="5">
        <f t="shared" si="5"/>
        <v>2018</v>
      </c>
      <c r="J371" s="2" t="s">
        <v>37</v>
      </c>
      <c r="K371" s="2">
        <v>370</v>
      </c>
      <c r="L371" s="2">
        <v>17244</v>
      </c>
    </row>
    <row r="372" spans="1:12" x14ac:dyDescent="0.35">
      <c r="A372" s="2">
        <v>386</v>
      </c>
      <c r="B372" s="2">
        <v>75</v>
      </c>
      <c r="C372" s="2" t="s">
        <v>46</v>
      </c>
      <c r="D372" s="2" t="s">
        <v>119</v>
      </c>
      <c r="E372" s="2" t="s">
        <v>86</v>
      </c>
      <c r="F372" s="3">
        <v>43293</v>
      </c>
      <c r="G372" s="2" t="s">
        <v>13</v>
      </c>
      <c r="H372" s="4">
        <v>43293</v>
      </c>
      <c r="I372" s="5">
        <f t="shared" si="5"/>
        <v>2018</v>
      </c>
      <c r="J372" s="2" t="s">
        <v>14</v>
      </c>
      <c r="K372" s="2">
        <v>371</v>
      </c>
      <c r="L372" s="2">
        <v>17319</v>
      </c>
    </row>
    <row r="373" spans="1:12" x14ac:dyDescent="0.35">
      <c r="A373" s="2">
        <v>387</v>
      </c>
      <c r="B373" s="2">
        <v>45</v>
      </c>
      <c r="C373" s="2" t="s">
        <v>46</v>
      </c>
      <c r="D373" s="2" t="s">
        <v>119</v>
      </c>
      <c r="E373" s="2" t="s">
        <v>61</v>
      </c>
      <c r="F373" s="3">
        <v>43295</v>
      </c>
      <c r="G373" s="2" t="s">
        <v>13</v>
      </c>
      <c r="H373" s="4">
        <v>43295</v>
      </c>
      <c r="I373" s="5">
        <f t="shared" si="5"/>
        <v>2018</v>
      </c>
      <c r="J373" s="2" t="s">
        <v>14</v>
      </c>
      <c r="K373" s="2">
        <v>372</v>
      </c>
      <c r="L373" s="2">
        <v>17364</v>
      </c>
    </row>
    <row r="374" spans="1:12" x14ac:dyDescent="0.35">
      <c r="A374" s="2">
        <v>388</v>
      </c>
      <c r="B374" s="2">
        <v>71</v>
      </c>
      <c r="C374" s="2" t="s">
        <v>46</v>
      </c>
      <c r="D374" s="2" t="s">
        <v>119</v>
      </c>
      <c r="E374" s="2" t="s">
        <v>87</v>
      </c>
      <c r="F374" s="3">
        <v>43298</v>
      </c>
      <c r="G374" s="2" t="s">
        <v>13</v>
      </c>
      <c r="H374" s="4">
        <v>43298</v>
      </c>
      <c r="I374" s="5">
        <f t="shared" si="5"/>
        <v>2018</v>
      </c>
      <c r="J374" s="2" t="s">
        <v>14</v>
      </c>
      <c r="K374" s="2">
        <v>373</v>
      </c>
      <c r="L374" s="2">
        <v>17435</v>
      </c>
    </row>
    <row r="375" spans="1:12" x14ac:dyDescent="0.35">
      <c r="A375" s="2">
        <v>389</v>
      </c>
      <c r="B375" s="2">
        <v>149</v>
      </c>
      <c r="C375" s="2" t="s">
        <v>46</v>
      </c>
      <c r="D375" s="2" t="s">
        <v>119</v>
      </c>
      <c r="E375" s="2" t="s">
        <v>79</v>
      </c>
      <c r="F375" s="3">
        <v>43313</v>
      </c>
      <c r="G375" s="2" t="s">
        <v>13</v>
      </c>
      <c r="H375" s="4">
        <v>43313</v>
      </c>
      <c r="I375" s="5">
        <f t="shared" si="5"/>
        <v>2018</v>
      </c>
      <c r="J375" s="2" t="s">
        <v>54</v>
      </c>
      <c r="K375" s="2">
        <v>374</v>
      </c>
      <c r="L375" s="2">
        <v>17584</v>
      </c>
    </row>
    <row r="376" spans="1:12" x14ac:dyDescent="0.35">
      <c r="A376" s="2">
        <v>390</v>
      </c>
      <c r="B376" s="2">
        <v>51</v>
      </c>
      <c r="C376" s="2" t="s">
        <v>46</v>
      </c>
      <c r="D376" s="2" t="s">
        <v>119</v>
      </c>
      <c r="E376" s="2" t="s">
        <v>79</v>
      </c>
      <c r="F376" s="3">
        <v>43313</v>
      </c>
      <c r="G376" s="2" t="s">
        <v>13</v>
      </c>
      <c r="H376" s="4">
        <v>43313</v>
      </c>
      <c r="I376" s="5">
        <f t="shared" si="5"/>
        <v>2018</v>
      </c>
      <c r="J376" s="2" t="s">
        <v>54</v>
      </c>
      <c r="K376" s="2">
        <v>375</v>
      </c>
      <c r="L376" s="2">
        <v>17635</v>
      </c>
    </row>
    <row r="377" spans="1:12" x14ac:dyDescent="0.35">
      <c r="A377" s="2">
        <v>391</v>
      </c>
      <c r="B377" s="2">
        <v>23</v>
      </c>
      <c r="C377" s="2" t="s">
        <v>46</v>
      </c>
      <c r="D377" s="2" t="s">
        <v>119</v>
      </c>
      <c r="E377" s="2" t="s">
        <v>61</v>
      </c>
      <c r="F377" s="3">
        <v>43321</v>
      </c>
      <c r="G377" s="2" t="s">
        <v>13</v>
      </c>
      <c r="H377" s="4">
        <v>43321</v>
      </c>
      <c r="I377" s="5">
        <f t="shared" si="5"/>
        <v>2018</v>
      </c>
      <c r="J377" s="2" t="s">
        <v>54</v>
      </c>
      <c r="K377" s="2">
        <v>376</v>
      </c>
      <c r="L377" s="2">
        <v>17658</v>
      </c>
    </row>
    <row r="378" spans="1:12" x14ac:dyDescent="0.35">
      <c r="A378" s="2">
        <v>392</v>
      </c>
      <c r="B378" s="2">
        <v>17</v>
      </c>
      <c r="C378" s="2" t="s">
        <v>46</v>
      </c>
      <c r="D378" s="2" t="s">
        <v>119</v>
      </c>
      <c r="E378" s="2" t="s">
        <v>61</v>
      </c>
      <c r="F378" s="3">
        <v>43321</v>
      </c>
      <c r="G378" s="2" t="s">
        <v>13</v>
      </c>
      <c r="H378" s="4">
        <v>43321</v>
      </c>
      <c r="I378" s="5">
        <f t="shared" si="5"/>
        <v>2018</v>
      </c>
      <c r="J378" s="2" t="s">
        <v>54</v>
      </c>
      <c r="K378" s="2">
        <v>377</v>
      </c>
      <c r="L378" s="2">
        <v>17675</v>
      </c>
    </row>
    <row r="379" spans="1:12" x14ac:dyDescent="0.35">
      <c r="A379" s="2">
        <v>393</v>
      </c>
      <c r="B379" s="2">
        <v>97</v>
      </c>
      <c r="C379" s="2" t="s">
        <v>46</v>
      </c>
      <c r="D379" s="2" t="s">
        <v>119</v>
      </c>
      <c r="E379" s="2" t="s">
        <v>86</v>
      </c>
      <c r="F379" s="3">
        <v>43330</v>
      </c>
      <c r="G379" s="2" t="s">
        <v>13</v>
      </c>
      <c r="H379" s="4">
        <v>43330</v>
      </c>
      <c r="I379" s="5">
        <f t="shared" si="5"/>
        <v>2018</v>
      </c>
      <c r="J379" s="2" t="s">
        <v>54</v>
      </c>
      <c r="K379" s="2">
        <v>378</v>
      </c>
      <c r="L379" s="2">
        <v>17772</v>
      </c>
    </row>
    <row r="380" spans="1:12" x14ac:dyDescent="0.35">
      <c r="A380" s="2">
        <v>394</v>
      </c>
      <c r="B380" s="2">
        <v>103</v>
      </c>
      <c r="C380" s="2" t="s">
        <v>46</v>
      </c>
      <c r="D380" s="2" t="s">
        <v>119</v>
      </c>
      <c r="E380" s="2" t="s">
        <v>86</v>
      </c>
      <c r="F380" s="3">
        <v>43330</v>
      </c>
      <c r="G380" s="2" t="s">
        <v>13</v>
      </c>
      <c r="H380" s="4">
        <v>43330</v>
      </c>
      <c r="I380" s="5">
        <f t="shared" si="5"/>
        <v>2018</v>
      </c>
      <c r="J380" s="2" t="s">
        <v>54</v>
      </c>
      <c r="K380" s="2">
        <v>379</v>
      </c>
      <c r="L380" s="2">
        <v>17875</v>
      </c>
    </row>
    <row r="381" spans="1:12" x14ac:dyDescent="0.35">
      <c r="A381" s="2">
        <v>395</v>
      </c>
      <c r="B381" s="2">
        <v>46</v>
      </c>
      <c r="C381" s="2" t="s">
        <v>46</v>
      </c>
      <c r="D381" s="2" t="s">
        <v>119</v>
      </c>
      <c r="E381" s="2" t="s">
        <v>59</v>
      </c>
      <c r="F381" s="3">
        <v>43342</v>
      </c>
      <c r="G381" s="2" t="s">
        <v>13</v>
      </c>
      <c r="H381" s="4">
        <v>43342</v>
      </c>
      <c r="I381" s="5">
        <f t="shared" si="5"/>
        <v>2018</v>
      </c>
      <c r="J381" s="2" t="s">
        <v>54</v>
      </c>
      <c r="K381" s="2">
        <v>380</v>
      </c>
      <c r="L381" s="2">
        <v>17921</v>
      </c>
    </row>
    <row r="382" spans="1:12" x14ac:dyDescent="0.35">
      <c r="A382" s="2">
        <v>396</v>
      </c>
      <c r="B382" s="2">
        <v>58</v>
      </c>
      <c r="C382" s="2" t="s">
        <v>46</v>
      </c>
      <c r="D382" s="2" t="s">
        <v>119</v>
      </c>
      <c r="E382" s="2" t="s">
        <v>59</v>
      </c>
      <c r="F382" s="3">
        <v>43342</v>
      </c>
      <c r="G382" s="2" t="s">
        <v>13</v>
      </c>
      <c r="H382" s="4">
        <v>43342</v>
      </c>
      <c r="I382" s="5">
        <f t="shared" si="5"/>
        <v>2018</v>
      </c>
      <c r="J382" s="2" t="s">
        <v>54</v>
      </c>
      <c r="K382" s="2">
        <v>381</v>
      </c>
      <c r="L382" s="2">
        <v>17979</v>
      </c>
    </row>
    <row r="383" spans="1:12" x14ac:dyDescent="0.35">
      <c r="A383" s="2">
        <v>397</v>
      </c>
      <c r="B383" s="2">
        <v>49</v>
      </c>
      <c r="C383" s="2" t="s">
        <v>46</v>
      </c>
      <c r="D383" s="2" t="s">
        <v>119</v>
      </c>
      <c r="E383" s="2" t="s">
        <v>60</v>
      </c>
      <c r="F383" s="3">
        <v>43350</v>
      </c>
      <c r="G383" s="2" t="s">
        <v>13</v>
      </c>
      <c r="H383" s="4">
        <v>43350</v>
      </c>
      <c r="I383" s="5">
        <f t="shared" si="5"/>
        <v>2018</v>
      </c>
      <c r="J383" s="2" t="s">
        <v>54</v>
      </c>
      <c r="K383" s="2">
        <v>382</v>
      </c>
      <c r="L383" s="2">
        <v>18028</v>
      </c>
    </row>
    <row r="384" spans="1:12" x14ac:dyDescent="0.35">
      <c r="A384" s="2">
        <v>398</v>
      </c>
      <c r="B384" s="2">
        <v>0</v>
      </c>
      <c r="C384" s="2" t="s">
        <v>46</v>
      </c>
      <c r="D384" s="2" t="s">
        <v>119</v>
      </c>
      <c r="E384" s="2" t="s">
        <v>60</v>
      </c>
      <c r="F384" s="3">
        <v>43350</v>
      </c>
      <c r="G384" s="2" t="s">
        <v>13</v>
      </c>
      <c r="H384" s="4">
        <v>43350</v>
      </c>
      <c r="I384" s="5">
        <f t="shared" si="5"/>
        <v>2018</v>
      </c>
      <c r="J384" s="2" t="s">
        <v>54</v>
      </c>
      <c r="K384" s="2">
        <v>383</v>
      </c>
      <c r="L384" s="2">
        <v>18028</v>
      </c>
    </row>
    <row r="385" spans="1:12" x14ac:dyDescent="0.35">
      <c r="A385" s="2">
        <v>399</v>
      </c>
      <c r="B385" s="2">
        <v>139</v>
      </c>
      <c r="C385" s="2" t="s">
        <v>18</v>
      </c>
      <c r="D385" s="2" t="s">
        <v>113</v>
      </c>
      <c r="E385" s="2" t="s">
        <v>24</v>
      </c>
      <c r="F385" s="3">
        <v>43377</v>
      </c>
      <c r="G385" s="2" t="s">
        <v>22</v>
      </c>
      <c r="H385" s="4">
        <v>43377</v>
      </c>
      <c r="I385" s="5">
        <f t="shared" si="5"/>
        <v>2018</v>
      </c>
      <c r="J385" s="2" t="s">
        <v>54</v>
      </c>
      <c r="K385" s="2">
        <v>384</v>
      </c>
      <c r="L385" s="2">
        <v>18167</v>
      </c>
    </row>
    <row r="386" spans="1:12" x14ac:dyDescent="0.35">
      <c r="A386" s="2">
        <v>400</v>
      </c>
      <c r="B386" s="2">
        <v>45</v>
      </c>
      <c r="C386" s="2" t="s">
        <v>18</v>
      </c>
      <c r="D386" s="2" t="s">
        <v>113</v>
      </c>
      <c r="E386" s="2" t="s">
        <v>63</v>
      </c>
      <c r="F386" s="3">
        <v>43385</v>
      </c>
      <c r="G386" s="2" t="s">
        <v>22</v>
      </c>
      <c r="H386" s="4">
        <v>43385</v>
      </c>
      <c r="I386" s="5">
        <f t="shared" si="5"/>
        <v>2018</v>
      </c>
      <c r="J386" s="2" t="s">
        <v>54</v>
      </c>
      <c r="K386" s="2">
        <v>385</v>
      </c>
      <c r="L386" s="2">
        <v>18212</v>
      </c>
    </row>
    <row r="387" spans="1:12" x14ac:dyDescent="0.35">
      <c r="A387" s="2">
        <v>402</v>
      </c>
      <c r="B387" s="2">
        <v>140</v>
      </c>
      <c r="C387" s="2" t="s">
        <v>18</v>
      </c>
      <c r="D387" s="2" t="s">
        <v>113</v>
      </c>
      <c r="E387" s="2" t="s">
        <v>40</v>
      </c>
      <c r="F387" s="3">
        <v>43394</v>
      </c>
      <c r="G387" s="2" t="s">
        <v>22</v>
      </c>
      <c r="H387" s="4">
        <v>43394</v>
      </c>
      <c r="I387" s="5">
        <f t="shared" ref="I387:I450" si="6">YEAR(F387)</f>
        <v>2018</v>
      </c>
      <c r="J387" s="2" t="s">
        <v>14</v>
      </c>
      <c r="K387" s="2">
        <v>386</v>
      </c>
      <c r="L387" s="2">
        <v>18352</v>
      </c>
    </row>
    <row r="388" spans="1:12" x14ac:dyDescent="0.35">
      <c r="A388" s="2">
        <v>403</v>
      </c>
      <c r="B388" s="2">
        <v>157</v>
      </c>
      <c r="C388" s="2" t="s">
        <v>18</v>
      </c>
      <c r="D388" s="2" t="s">
        <v>113</v>
      </c>
      <c r="E388" s="2" t="s">
        <v>39</v>
      </c>
      <c r="F388" s="3">
        <v>43397</v>
      </c>
      <c r="G388" s="2" t="s">
        <v>22</v>
      </c>
      <c r="H388" s="4">
        <v>43397</v>
      </c>
      <c r="I388" s="5">
        <f t="shared" si="6"/>
        <v>2018</v>
      </c>
      <c r="J388" s="2" t="s">
        <v>14</v>
      </c>
      <c r="K388" s="2">
        <v>387</v>
      </c>
      <c r="L388" s="2">
        <v>18509</v>
      </c>
    </row>
    <row r="389" spans="1:12" x14ac:dyDescent="0.35">
      <c r="A389" s="2">
        <v>404</v>
      </c>
      <c r="B389" s="2">
        <v>107</v>
      </c>
      <c r="C389" s="2" t="s">
        <v>18</v>
      </c>
      <c r="D389" s="2" t="s">
        <v>113</v>
      </c>
      <c r="E389" s="2" t="s">
        <v>75</v>
      </c>
      <c r="F389" s="3">
        <v>43400</v>
      </c>
      <c r="G389" s="2" t="s">
        <v>22</v>
      </c>
      <c r="H389" s="4">
        <v>43400</v>
      </c>
      <c r="I389" s="5">
        <f t="shared" si="6"/>
        <v>2018</v>
      </c>
      <c r="J389" s="2" t="s">
        <v>14</v>
      </c>
      <c r="K389" s="2">
        <v>388</v>
      </c>
      <c r="L389" s="2">
        <v>18616</v>
      </c>
    </row>
    <row r="390" spans="1:12" x14ac:dyDescent="0.35">
      <c r="A390" s="2">
        <v>405</v>
      </c>
      <c r="B390" s="2">
        <v>16</v>
      </c>
      <c r="C390" s="2" t="s">
        <v>18</v>
      </c>
      <c r="D390" s="2" t="s">
        <v>113</v>
      </c>
      <c r="E390" s="2" t="s">
        <v>98</v>
      </c>
      <c r="F390" s="3">
        <v>43402</v>
      </c>
      <c r="G390" s="2" t="s">
        <v>22</v>
      </c>
      <c r="H390" s="4">
        <v>43402</v>
      </c>
      <c r="I390" s="5">
        <f t="shared" si="6"/>
        <v>2018</v>
      </c>
      <c r="J390" s="2" t="s">
        <v>14</v>
      </c>
      <c r="K390" s="2">
        <v>389</v>
      </c>
      <c r="L390" s="2">
        <v>18632</v>
      </c>
    </row>
    <row r="391" spans="1:12" x14ac:dyDescent="0.35">
      <c r="A391" s="2">
        <v>406</v>
      </c>
      <c r="B391" s="2">
        <v>33</v>
      </c>
      <c r="C391" s="2" t="s">
        <v>18</v>
      </c>
      <c r="D391" s="2" t="s">
        <v>113</v>
      </c>
      <c r="E391" s="2" t="s">
        <v>95</v>
      </c>
      <c r="F391" s="3">
        <v>43405</v>
      </c>
      <c r="G391" s="2" t="s">
        <v>22</v>
      </c>
      <c r="H391" s="4">
        <v>43405</v>
      </c>
      <c r="I391" s="5">
        <f t="shared" si="6"/>
        <v>2018</v>
      </c>
      <c r="J391" s="2" t="s">
        <v>14</v>
      </c>
      <c r="K391" s="2">
        <v>390</v>
      </c>
      <c r="L391" s="2">
        <v>18665</v>
      </c>
    </row>
    <row r="392" spans="1:12" x14ac:dyDescent="0.35">
      <c r="A392" s="2">
        <v>407</v>
      </c>
      <c r="B392" s="2">
        <v>4</v>
      </c>
      <c r="C392" s="2" t="s">
        <v>20</v>
      </c>
      <c r="D392" s="2" t="s">
        <v>114</v>
      </c>
      <c r="E392" s="2" t="s">
        <v>70</v>
      </c>
      <c r="F392" s="3">
        <v>43425</v>
      </c>
      <c r="G392" s="2" t="s">
        <v>22</v>
      </c>
      <c r="H392" s="4">
        <v>43425</v>
      </c>
      <c r="I392" s="5">
        <f t="shared" si="6"/>
        <v>2018</v>
      </c>
      <c r="J392" s="2" t="s">
        <v>37</v>
      </c>
      <c r="K392" s="2">
        <v>391</v>
      </c>
      <c r="L392" s="2">
        <v>18669</v>
      </c>
    </row>
    <row r="393" spans="1:12" x14ac:dyDescent="0.35">
      <c r="A393" s="2">
        <v>409</v>
      </c>
      <c r="B393" s="2">
        <v>61</v>
      </c>
      <c r="C393" s="2" t="s">
        <v>20</v>
      </c>
      <c r="D393" s="2" t="s">
        <v>114</v>
      </c>
      <c r="E393" s="2" t="s">
        <v>67</v>
      </c>
      <c r="F393" s="3">
        <v>43429</v>
      </c>
      <c r="G393" s="2" t="s">
        <v>22</v>
      </c>
      <c r="H393" s="4">
        <v>43429</v>
      </c>
      <c r="I393" s="5">
        <f t="shared" si="6"/>
        <v>2018</v>
      </c>
      <c r="J393" s="2" t="s">
        <v>37</v>
      </c>
      <c r="K393" s="2">
        <v>392</v>
      </c>
      <c r="L393" s="2">
        <v>18730</v>
      </c>
    </row>
    <row r="394" spans="1:12" x14ac:dyDescent="0.35">
      <c r="A394" s="2">
        <v>410</v>
      </c>
      <c r="B394" s="2">
        <v>3</v>
      </c>
      <c r="C394" s="2" t="s">
        <v>20</v>
      </c>
      <c r="D394" s="2" t="s">
        <v>114</v>
      </c>
      <c r="E394" s="2" t="s">
        <v>69</v>
      </c>
      <c r="F394" s="3">
        <v>43440</v>
      </c>
      <c r="G394" s="2" t="s">
        <v>22</v>
      </c>
      <c r="H394" s="4">
        <v>43440</v>
      </c>
      <c r="I394" s="5">
        <f t="shared" si="6"/>
        <v>2018</v>
      </c>
      <c r="J394" s="2" t="s">
        <v>54</v>
      </c>
      <c r="K394" s="2">
        <v>393</v>
      </c>
      <c r="L394" s="2">
        <v>18733</v>
      </c>
    </row>
    <row r="395" spans="1:12" x14ac:dyDescent="0.35">
      <c r="A395" s="2">
        <v>411</v>
      </c>
      <c r="B395" s="2">
        <v>34</v>
      </c>
      <c r="C395" s="2" t="s">
        <v>20</v>
      </c>
      <c r="D395" s="2" t="s">
        <v>114</v>
      </c>
      <c r="E395" s="2" t="s">
        <v>69</v>
      </c>
      <c r="F395" s="3">
        <v>43440</v>
      </c>
      <c r="G395" s="2" t="s">
        <v>22</v>
      </c>
      <c r="H395" s="4">
        <v>43440</v>
      </c>
      <c r="I395" s="5">
        <f t="shared" si="6"/>
        <v>2018</v>
      </c>
      <c r="J395" s="2" t="s">
        <v>54</v>
      </c>
      <c r="K395" s="2">
        <v>394</v>
      </c>
      <c r="L395" s="2">
        <v>18767</v>
      </c>
    </row>
    <row r="396" spans="1:12" x14ac:dyDescent="0.35">
      <c r="A396" s="2">
        <v>412</v>
      </c>
      <c r="B396" s="2">
        <v>123</v>
      </c>
      <c r="C396" s="2" t="s">
        <v>20</v>
      </c>
      <c r="D396" s="2" t="s">
        <v>114</v>
      </c>
      <c r="E396" s="2" t="s">
        <v>68</v>
      </c>
      <c r="F396" s="3">
        <v>43448</v>
      </c>
      <c r="G396" s="2" t="s">
        <v>22</v>
      </c>
      <c r="H396" s="4">
        <v>43448</v>
      </c>
      <c r="I396" s="5">
        <f t="shared" si="6"/>
        <v>2018</v>
      </c>
      <c r="J396" s="2" t="s">
        <v>54</v>
      </c>
      <c r="K396" s="2">
        <v>395</v>
      </c>
      <c r="L396" s="2">
        <v>18890</v>
      </c>
    </row>
    <row r="397" spans="1:12" x14ac:dyDescent="0.35">
      <c r="A397" s="2">
        <v>413</v>
      </c>
      <c r="B397" s="2">
        <v>17</v>
      </c>
      <c r="C397" s="2" t="s">
        <v>20</v>
      </c>
      <c r="D397" s="2" t="s">
        <v>114</v>
      </c>
      <c r="E397" s="2" t="s">
        <v>68</v>
      </c>
      <c r="F397" s="3">
        <v>43448</v>
      </c>
      <c r="G397" s="2" t="s">
        <v>22</v>
      </c>
      <c r="H397" s="4">
        <v>43448</v>
      </c>
      <c r="I397" s="5">
        <f t="shared" si="6"/>
        <v>2018</v>
      </c>
      <c r="J397" s="2" t="s">
        <v>54</v>
      </c>
      <c r="K397" s="2">
        <v>396</v>
      </c>
      <c r="L397" s="2">
        <v>18907</v>
      </c>
    </row>
    <row r="398" spans="1:12" x14ac:dyDescent="0.35">
      <c r="A398" s="2">
        <v>414</v>
      </c>
      <c r="B398" s="2">
        <v>82</v>
      </c>
      <c r="C398" s="2" t="s">
        <v>20</v>
      </c>
      <c r="D398" s="2" t="s">
        <v>114</v>
      </c>
      <c r="E398" s="2" t="s">
        <v>66</v>
      </c>
      <c r="F398" s="3">
        <v>43460</v>
      </c>
      <c r="G398" s="2" t="s">
        <v>22</v>
      </c>
      <c r="H398" s="4">
        <v>43460</v>
      </c>
      <c r="I398" s="5">
        <f t="shared" si="6"/>
        <v>2018</v>
      </c>
      <c r="J398" s="2" t="s">
        <v>54</v>
      </c>
      <c r="K398" s="2">
        <v>397</v>
      </c>
      <c r="L398" s="2">
        <v>18989</v>
      </c>
    </row>
    <row r="399" spans="1:12" x14ac:dyDescent="0.35">
      <c r="A399" s="2">
        <v>415</v>
      </c>
      <c r="B399" s="2">
        <v>0</v>
      </c>
      <c r="C399" s="2" t="s">
        <v>20</v>
      </c>
      <c r="D399" s="2" t="s">
        <v>114</v>
      </c>
      <c r="E399" s="2" t="s">
        <v>66</v>
      </c>
      <c r="F399" s="3">
        <v>43460</v>
      </c>
      <c r="G399" s="2" t="s">
        <v>22</v>
      </c>
      <c r="H399" s="4">
        <v>43460</v>
      </c>
      <c r="I399" s="5">
        <f t="shared" si="6"/>
        <v>2018</v>
      </c>
      <c r="J399" s="2" t="s">
        <v>54</v>
      </c>
      <c r="K399" s="2">
        <v>398</v>
      </c>
      <c r="L399" s="2">
        <v>18989</v>
      </c>
    </row>
    <row r="400" spans="1:12" x14ac:dyDescent="0.35">
      <c r="A400" s="2">
        <v>416</v>
      </c>
      <c r="B400" s="2">
        <v>23</v>
      </c>
      <c r="C400" s="2" t="s">
        <v>20</v>
      </c>
      <c r="D400" s="2" t="s">
        <v>114</v>
      </c>
      <c r="E400" s="2" t="s">
        <v>67</v>
      </c>
      <c r="F400" s="3">
        <v>43468</v>
      </c>
      <c r="G400" s="2" t="s">
        <v>28</v>
      </c>
      <c r="H400" s="4">
        <v>43468</v>
      </c>
      <c r="I400" s="5">
        <f t="shared" si="6"/>
        <v>2019</v>
      </c>
      <c r="J400" s="2" t="s">
        <v>54</v>
      </c>
      <c r="K400" s="2">
        <v>399</v>
      </c>
      <c r="L400" s="2">
        <v>19012</v>
      </c>
    </row>
    <row r="401" spans="1:12" x14ac:dyDescent="0.35">
      <c r="A401" s="2">
        <v>417</v>
      </c>
      <c r="B401" s="2">
        <v>3</v>
      </c>
      <c r="C401" s="2" t="s">
        <v>20</v>
      </c>
      <c r="D401" s="2" t="s">
        <v>114</v>
      </c>
      <c r="E401" s="2" t="s">
        <v>67</v>
      </c>
      <c r="F401" s="3">
        <v>43477</v>
      </c>
      <c r="G401" s="2" t="s">
        <v>28</v>
      </c>
      <c r="H401" s="4">
        <v>43477</v>
      </c>
      <c r="I401" s="5">
        <f t="shared" si="6"/>
        <v>2019</v>
      </c>
      <c r="J401" s="2" t="s">
        <v>14</v>
      </c>
      <c r="K401" s="2">
        <v>400</v>
      </c>
      <c r="L401" s="2">
        <v>19015</v>
      </c>
    </row>
    <row r="402" spans="1:12" x14ac:dyDescent="0.35">
      <c r="A402" s="2">
        <v>418</v>
      </c>
      <c r="B402" s="2">
        <v>104</v>
      </c>
      <c r="C402" s="2" t="s">
        <v>20</v>
      </c>
      <c r="D402" s="2" t="s">
        <v>114</v>
      </c>
      <c r="E402" s="2" t="s">
        <v>69</v>
      </c>
      <c r="F402" s="3">
        <v>43480</v>
      </c>
      <c r="G402" s="2" t="s">
        <v>28</v>
      </c>
      <c r="H402" s="4">
        <v>43480</v>
      </c>
      <c r="I402" s="5">
        <f t="shared" si="6"/>
        <v>2019</v>
      </c>
      <c r="J402" s="2" t="s">
        <v>14</v>
      </c>
      <c r="K402" s="2">
        <v>401</v>
      </c>
      <c r="L402" s="2">
        <v>19119</v>
      </c>
    </row>
    <row r="403" spans="1:12" x14ac:dyDescent="0.35">
      <c r="A403" s="2">
        <v>419</v>
      </c>
      <c r="B403" s="2">
        <v>46</v>
      </c>
      <c r="C403" s="2" t="s">
        <v>20</v>
      </c>
      <c r="D403" s="2" t="s">
        <v>114</v>
      </c>
      <c r="E403" s="2" t="s">
        <v>66</v>
      </c>
      <c r="F403" s="3">
        <v>43483</v>
      </c>
      <c r="G403" s="2" t="s">
        <v>28</v>
      </c>
      <c r="H403" s="4">
        <v>43483</v>
      </c>
      <c r="I403" s="5">
        <f t="shared" si="6"/>
        <v>2019</v>
      </c>
      <c r="J403" s="2" t="s">
        <v>14</v>
      </c>
      <c r="K403" s="2">
        <v>402</v>
      </c>
      <c r="L403" s="2">
        <v>19165</v>
      </c>
    </row>
    <row r="404" spans="1:12" x14ac:dyDescent="0.35">
      <c r="A404" s="2">
        <v>420</v>
      </c>
      <c r="B404" s="2">
        <v>45</v>
      </c>
      <c r="C404" s="2" t="s">
        <v>38</v>
      </c>
      <c r="D404" s="2" t="s">
        <v>118</v>
      </c>
      <c r="E404" s="2" t="s">
        <v>81</v>
      </c>
      <c r="F404" s="3">
        <v>43488</v>
      </c>
      <c r="G404" s="2" t="s">
        <v>28</v>
      </c>
      <c r="H404" s="4">
        <v>43488</v>
      </c>
      <c r="I404" s="5">
        <f t="shared" si="6"/>
        <v>2019</v>
      </c>
      <c r="J404" s="2" t="s">
        <v>14</v>
      </c>
      <c r="K404" s="2">
        <v>403</v>
      </c>
      <c r="L404" s="2">
        <v>19210</v>
      </c>
    </row>
    <row r="405" spans="1:12" x14ac:dyDescent="0.35">
      <c r="A405" s="2">
        <v>421</v>
      </c>
      <c r="B405" s="2">
        <v>43</v>
      </c>
      <c r="C405" s="2" t="s">
        <v>38</v>
      </c>
      <c r="D405" s="2" t="s">
        <v>118</v>
      </c>
      <c r="E405" s="2" t="s">
        <v>99</v>
      </c>
      <c r="F405" s="3">
        <v>43491</v>
      </c>
      <c r="G405" s="2" t="s">
        <v>28</v>
      </c>
      <c r="H405" s="4">
        <v>43491</v>
      </c>
      <c r="I405" s="5">
        <f t="shared" si="6"/>
        <v>2019</v>
      </c>
      <c r="J405" s="2" t="s">
        <v>14</v>
      </c>
      <c r="K405" s="2">
        <v>404</v>
      </c>
      <c r="L405" s="2">
        <v>19253</v>
      </c>
    </row>
    <row r="406" spans="1:12" x14ac:dyDescent="0.35">
      <c r="A406" s="2">
        <v>422</v>
      </c>
      <c r="B406" s="2">
        <v>60</v>
      </c>
      <c r="C406" s="2" t="s">
        <v>38</v>
      </c>
      <c r="D406" s="2" t="s">
        <v>118</v>
      </c>
      <c r="E406" s="2" t="s">
        <v>99</v>
      </c>
      <c r="F406" s="3">
        <v>43493</v>
      </c>
      <c r="G406" s="2" t="s">
        <v>28</v>
      </c>
      <c r="H406" s="4">
        <v>43493</v>
      </c>
      <c r="I406" s="5">
        <f t="shared" si="6"/>
        <v>2019</v>
      </c>
      <c r="J406" s="2" t="s">
        <v>14</v>
      </c>
      <c r="K406" s="2">
        <v>405</v>
      </c>
      <c r="L406" s="2">
        <v>19313</v>
      </c>
    </row>
    <row r="407" spans="1:12" x14ac:dyDescent="0.35">
      <c r="A407" s="2">
        <v>423</v>
      </c>
      <c r="B407" s="2">
        <v>24</v>
      </c>
      <c r="C407" s="2" t="s">
        <v>20</v>
      </c>
      <c r="D407" s="2" t="s">
        <v>114</v>
      </c>
      <c r="E407" s="2" t="s">
        <v>39</v>
      </c>
      <c r="F407" s="3">
        <v>43520</v>
      </c>
      <c r="G407" s="2" t="s">
        <v>28</v>
      </c>
      <c r="H407" s="4">
        <v>43520</v>
      </c>
      <c r="I407" s="5">
        <f t="shared" si="6"/>
        <v>2019</v>
      </c>
      <c r="J407" s="2" t="s">
        <v>37</v>
      </c>
      <c r="K407" s="2">
        <v>406</v>
      </c>
      <c r="L407" s="2">
        <v>19337</v>
      </c>
    </row>
    <row r="408" spans="1:12" x14ac:dyDescent="0.35">
      <c r="A408" s="2">
        <v>424</v>
      </c>
      <c r="B408" s="2">
        <v>72</v>
      </c>
      <c r="C408" s="2" t="s">
        <v>20</v>
      </c>
      <c r="D408" s="2" t="s">
        <v>114</v>
      </c>
      <c r="E408" s="2" t="s">
        <v>41</v>
      </c>
      <c r="F408" s="3">
        <v>43523</v>
      </c>
      <c r="G408" s="2" t="s">
        <v>28</v>
      </c>
      <c r="H408" s="4">
        <v>43523</v>
      </c>
      <c r="I408" s="5">
        <f t="shared" si="6"/>
        <v>2019</v>
      </c>
      <c r="J408" s="2" t="s">
        <v>37</v>
      </c>
      <c r="K408" s="2">
        <v>407</v>
      </c>
      <c r="L408" s="2">
        <v>19409</v>
      </c>
    </row>
    <row r="409" spans="1:12" x14ac:dyDescent="0.35">
      <c r="A409" s="2">
        <v>425</v>
      </c>
      <c r="B409" s="2">
        <v>44</v>
      </c>
      <c r="C409" s="2" t="s">
        <v>20</v>
      </c>
      <c r="D409" s="2" t="s">
        <v>114</v>
      </c>
      <c r="E409" s="2" t="s">
        <v>63</v>
      </c>
      <c r="F409" s="3">
        <v>43526</v>
      </c>
      <c r="G409" s="2" t="s">
        <v>28</v>
      </c>
      <c r="H409" s="4">
        <v>43526</v>
      </c>
      <c r="I409" s="5">
        <f t="shared" si="6"/>
        <v>2019</v>
      </c>
      <c r="J409" s="2" t="s">
        <v>14</v>
      </c>
      <c r="K409" s="2">
        <v>408</v>
      </c>
      <c r="L409" s="2">
        <v>19453</v>
      </c>
    </row>
    <row r="410" spans="1:12" x14ac:dyDescent="0.35">
      <c r="A410" s="2">
        <v>426</v>
      </c>
      <c r="B410" s="2">
        <v>116</v>
      </c>
      <c r="C410" s="2" t="s">
        <v>20</v>
      </c>
      <c r="D410" s="2" t="s">
        <v>114</v>
      </c>
      <c r="E410" s="2" t="s">
        <v>25</v>
      </c>
      <c r="F410" s="3">
        <v>43529</v>
      </c>
      <c r="G410" s="2" t="s">
        <v>28</v>
      </c>
      <c r="H410" s="4">
        <v>43529</v>
      </c>
      <c r="I410" s="5">
        <f t="shared" si="6"/>
        <v>2019</v>
      </c>
      <c r="J410" s="2" t="s">
        <v>14</v>
      </c>
      <c r="K410" s="2">
        <v>409</v>
      </c>
      <c r="L410" s="2">
        <v>19569</v>
      </c>
    </row>
    <row r="411" spans="1:12" x14ac:dyDescent="0.35">
      <c r="A411" s="2">
        <v>427</v>
      </c>
      <c r="B411" s="2">
        <v>123</v>
      </c>
      <c r="C411" s="2" t="s">
        <v>20</v>
      </c>
      <c r="D411" s="2" t="s">
        <v>114</v>
      </c>
      <c r="E411" s="2" t="s">
        <v>77</v>
      </c>
      <c r="F411" s="3">
        <v>43532</v>
      </c>
      <c r="G411" s="2" t="s">
        <v>28</v>
      </c>
      <c r="H411" s="4">
        <v>43532</v>
      </c>
      <c r="I411" s="5">
        <f t="shared" si="6"/>
        <v>2019</v>
      </c>
      <c r="J411" s="2" t="s">
        <v>14</v>
      </c>
      <c r="K411" s="2">
        <v>410</v>
      </c>
      <c r="L411" s="2">
        <v>19692</v>
      </c>
    </row>
    <row r="412" spans="1:12" x14ac:dyDescent="0.35">
      <c r="A412" s="2">
        <v>428</v>
      </c>
      <c r="B412" s="2">
        <v>7</v>
      </c>
      <c r="C412" s="2" t="s">
        <v>20</v>
      </c>
      <c r="D412" s="2" t="s">
        <v>114</v>
      </c>
      <c r="E412" s="2" t="s">
        <v>23</v>
      </c>
      <c r="F412" s="3">
        <v>43534</v>
      </c>
      <c r="G412" s="2" t="s">
        <v>28</v>
      </c>
      <c r="H412" s="4">
        <v>43534</v>
      </c>
      <c r="I412" s="5">
        <f t="shared" si="6"/>
        <v>2019</v>
      </c>
      <c r="J412" s="2" t="s">
        <v>14</v>
      </c>
      <c r="K412" s="2">
        <v>411</v>
      </c>
      <c r="L412" s="2">
        <v>19699</v>
      </c>
    </row>
    <row r="413" spans="1:12" x14ac:dyDescent="0.35">
      <c r="A413" s="2">
        <v>429</v>
      </c>
      <c r="B413" s="2">
        <v>20</v>
      </c>
      <c r="C413" s="2" t="s">
        <v>20</v>
      </c>
      <c r="D413" s="2" t="s">
        <v>114</v>
      </c>
      <c r="E413" s="2" t="s">
        <v>49</v>
      </c>
      <c r="F413" s="3">
        <v>43537</v>
      </c>
      <c r="G413" s="2" t="s">
        <v>28</v>
      </c>
      <c r="H413" s="4">
        <v>43537</v>
      </c>
      <c r="I413" s="5">
        <f t="shared" si="6"/>
        <v>2019</v>
      </c>
      <c r="J413" s="2" t="s">
        <v>14</v>
      </c>
      <c r="K413" s="2">
        <v>412</v>
      </c>
      <c r="L413" s="2">
        <v>19719</v>
      </c>
    </row>
    <row r="414" spans="1:12" x14ac:dyDescent="0.35">
      <c r="A414" s="2">
        <v>430</v>
      </c>
      <c r="B414" s="2">
        <v>18</v>
      </c>
      <c r="C414" s="2" t="s">
        <v>30</v>
      </c>
      <c r="D414" s="2" t="s">
        <v>116</v>
      </c>
      <c r="E414" s="2" t="s">
        <v>59</v>
      </c>
      <c r="F414" s="3">
        <v>43621</v>
      </c>
      <c r="G414" s="2" t="s">
        <v>35</v>
      </c>
      <c r="H414" s="4">
        <v>43621</v>
      </c>
      <c r="I414" s="5">
        <f t="shared" si="6"/>
        <v>2019</v>
      </c>
      <c r="J414" s="2" t="s">
        <v>14</v>
      </c>
      <c r="K414" s="2">
        <v>413</v>
      </c>
      <c r="L414" s="2">
        <v>19737</v>
      </c>
    </row>
    <row r="415" spans="1:12" x14ac:dyDescent="0.35">
      <c r="A415" s="2">
        <v>431</v>
      </c>
      <c r="B415" s="2">
        <v>82</v>
      </c>
      <c r="C415" s="2" t="s">
        <v>20</v>
      </c>
      <c r="D415" s="2" t="s">
        <v>114</v>
      </c>
      <c r="E415" s="2" t="s">
        <v>60</v>
      </c>
      <c r="F415" s="3">
        <v>43625</v>
      </c>
      <c r="G415" s="2" t="s">
        <v>35</v>
      </c>
      <c r="H415" s="4">
        <v>43625</v>
      </c>
      <c r="I415" s="5">
        <f t="shared" si="6"/>
        <v>2019</v>
      </c>
      <c r="J415" s="2" t="s">
        <v>14</v>
      </c>
      <c r="K415" s="2">
        <v>414</v>
      </c>
      <c r="L415" s="2">
        <v>19819</v>
      </c>
    </row>
    <row r="416" spans="1:12" x14ac:dyDescent="0.35">
      <c r="A416" s="2">
        <v>432</v>
      </c>
      <c r="B416" s="2">
        <v>77</v>
      </c>
      <c r="C416" s="2" t="s">
        <v>16</v>
      </c>
      <c r="D416" s="2" t="s">
        <v>112</v>
      </c>
      <c r="E416" s="2" t="s">
        <v>57</v>
      </c>
      <c r="F416" s="3">
        <v>43632</v>
      </c>
      <c r="G416" s="2" t="s">
        <v>35</v>
      </c>
      <c r="H416" s="4">
        <v>43632</v>
      </c>
      <c r="I416" s="5">
        <f t="shared" si="6"/>
        <v>2019</v>
      </c>
      <c r="J416" s="2" t="s">
        <v>14</v>
      </c>
      <c r="K416" s="2">
        <v>415</v>
      </c>
      <c r="L416" s="2">
        <v>19896</v>
      </c>
    </row>
    <row r="417" spans="1:12" x14ac:dyDescent="0.35">
      <c r="A417" s="2">
        <v>433</v>
      </c>
      <c r="B417" s="2">
        <v>67</v>
      </c>
      <c r="C417" s="2" t="s">
        <v>74</v>
      </c>
      <c r="D417" s="2" t="s">
        <v>122</v>
      </c>
      <c r="E417" s="2" t="s">
        <v>59</v>
      </c>
      <c r="F417" s="3">
        <v>43638</v>
      </c>
      <c r="G417" s="2" t="s">
        <v>35</v>
      </c>
      <c r="H417" s="4">
        <v>43638</v>
      </c>
      <c r="I417" s="5">
        <f t="shared" si="6"/>
        <v>2019</v>
      </c>
      <c r="J417" s="2" t="s">
        <v>14</v>
      </c>
      <c r="K417" s="2">
        <v>416</v>
      </c>
      <c r="L417" s="2">
        <v>19963</v>
      </c>
    </row>
    <row r="418" spans="1:12" x14ac:dyDescent="0.35">
      <c r="A418" s="2">
        <v>434</v>
      </c>
      <c r="B418" s="2">
        <v>72</v>
      </c>
      <c r="C418" s="2" t="s">
        <v>18</v>
      </c>
      <c r="D418" s="2" t="s">
        <v>113</v>
      </c>
      <c r="E418" s="2" t="s">
        <v>57</v>
      </c>
      <c r="F418" s="3">
        <v>43643</v>
      </c>
      <c r="G418" s="2" t="s">
        <v>35</v>
      </c>
      <c r="H418" s="4">
        <v>43643</v>
      </c>
      <c r="I418" s="5">
        <f t="shared" si="6"/>
        <v>2019</v>
      </c>
      <c r="J418" s="2" t="s">
        <v>14</v>
      </c>
      <c r="K418" s="2">
        <v>417</v>
      </c>
      <c r="L418" s="2">
        <v>20035</v>
      </c>
    </row>
    <row r="419" spans="1:12" x14ac:dyDescent="0.35">
      <c r="A419" s="2">
        <v>435</v>
      </c>
      <c r="B419" s="2">
        <v>66</v>
      </c>
      <c r="C419" s="2" t="s">
        <v>46</v>
      </c>
      <c r="D419" s="2" t="s">
        <v>119</v>
      </c>
      <c r="E419" s="2" t="s">
        <v>79</v>
      </c>
      <c r="F419" s="3">
        <v>43646</v>
      </c>
      <c r="G419" s="2" t="s">
        <v>35</v>
      </c>
      <c r="H419" s="4">
        <v>43646</v>
      </c>
      <c r="I419" s="5">
        <f t="shared" si="6"/>
        <v>2019</v>
      </c>
      <c r="J419" s="2" t="s">
        <v>14</v>
      </c>
      <c r="K419" s="2">
        <v>418</v>
      </c>
      <c r="L419" s="2">
        <v>20101</v>
      </c>
    </row>
    <row r="420" spans="1:12" x14ac:dyDescent="0.35">
      <c r="A420" s="2">
        <v>436</v>
      </c>
      <c r="B420" s="2">
        <v>26</v>
      </c>
      <c r="C420" s="2" t="s">
        <v>29</v>
      </c>
      <c r="D420" s="2" t="s">
        <v>115</v>
      </c>
      <c r="E420" s="2" t="s">
        <v>79</v>
      </c>
      <c r="F420" s="3">
        <v>43648</v>
      </c>
      <c r="G420" s="2" t="s">
        <v>13</v>
      </c>
      <c r="H420" s="4">
        <v>43648</v>
      </c>
      <c r="I420" s="5">
        <f t="shared" si="6"/>
        <v>2019</v>
      </c>
      <c r="J420" s="2" t="s">
        <v>14</v>
      </c>
      <c r="K420" s="2">
        <v>419</v>
      </c>
      <c r="L420" s="2">
        <v>20127</v>
      </c>
    </row>
    <row r="421" spans="1:12" x14ac:dyDescent="0.35">
      <c r="A421" s="2">
        <v>437</v>
      </c>
      <c r="B421" s="2">
        <v>34</v>
      </c>
      <c r="C421" s="2" t="s">
        <v>11</v>
      </c>
      <c r="D421" s="2" t="s">
        <v>111</v>
      </c>
      <c r="E421" s="2" t="s">
        <v>87</v>
      </c>
      <c r="F421" s="3">
        <v>43652</v>
      </c>
      <c r="G421" s="2" t="s">
        <v>13</v>
      </c>
      <c r="H421" s="4">
        <v>43652</v>
      </c>
      <c r="I421" s="5">
        <f t="shared" si="6"/>
        <v>2019</v>
      </c>
      <c r="J421" s="2" t="s">
        <v>14</v>
      </c>
      <c r="K421" s="2">
        <v>420</v>
      </c>
      <c r="L421" s="2">
        <v>20161</v>
      </c>
    </row>
    <row r="422" spans="1:12" x14ac:dyDescent="0.35">
      <c r="A422" s="2">
        <v>438</v>
      </c>
      <c r="B422" s="2">
        <v>1</v>
      </c>
      <c r="C422" s="2" t="s">
        <v>38</v>
      </c>
      <c r="D422" s="2" t="s">
        <v>118</v>
      </c>
      <c r="E422" s="2" t="s">
        <v>57</v>
      </c>
      <c r="F422" s="3">
        <v>43655</v>
      </c>
      <c r="G422" s="2" t="s">
        <v>13</v>
      </c>
      <c r="H422" s="4">
        <v>43655</v>
      </c>
      <c r="I422" s="5">
        <f t="shared" si="6"/>
        <v>2019</v>
      </c>
      <c r="J422" s="2" t="s">
        <v>14</v>
      </c>
      <c r="K422" s="2">
        <v>421</v>
      </c>
      <c r="L422" s="2">
        <v>20162</v>
      </c>
    </row>
    <row r="423" spans="1:12" x14ac:dyDescent="0.35">
      <c r="A423" s="2">
        <v>439</v>
      </c>
      <c r="B423" s="2">
        <v>19</v>
      </c>
      <c r="C423" s="2" t="s">
        <v>18</v>
      </c>
      <c r="D423" s="2" t="s">
        <v>113</v>
      </c>
      <c r="E423" s="2" t="s">
        <v>94</v>
      </c>
      <c r="F423" s="3">
        <v>43680</v>
      </c>
      <c r="G423" s="2" t="s">
        <v>13</v>
      </c>
      <c r="H423" s="4">
        <v>43680</v>
      </c>
      <c r="I423" s="5">
        <f t="shared" si="6"/>
        <v>2019</v>
      </c>
      <c r="J423" s="2" t="s">
        <v>37</v>
      </c>
      <c r="K423" s="2">
        <v>422</v>
      </c>
      <c r="L423" s="2">
        <v>20181</v>
      </c>
    </row>
    <row r="424" spans="1:12" x14ac:dyDescent="0.35">
      <c r="A424" s="2">
        <v>440</v>
      </c>
      <c r="B424" s="2">
        <v>28</v>
      </c>
      <c r="C424" s="2" t="s">
        <v>18</v>
      </c>
      <c r="D424" s="2" t="s">
        <v>113</v>
      </c>
      <c r="E424" s="2" t="s">
        <v>94</v>
      </c>
      <c r="F424" s="3">
        <v>43681</v>
      </c>
      <c r="G424" s="2" t="s">
        <v>13</v>
      </c>
      <c r="H424" s="4">
        <v>43681</v>
      </c>
      <c r="I424" s="5">
        <f t="shared" si="6"/>
        <v>2019</v>
      </c>
      <c r="J424" s="2" t="s">
        <v>37</v>
      </c>
      <c r="K424" s="2">
        <v>423</v>
      </c>
      <c r="L424" s="2">
        <v>20209</v>
      </c>
    </row>
    <row r="425" spans="1:12" x14ac:dyDescent="0.35">
      <c r="A425" s="2">
        <v>441</v>
      </c>
      <c r="B425" s="2">
        <v>59</v>
      </c>
      <c r="C425" s="2" t="s">
        <v>18</v>
      </c>
      <c r="D425" s="2" t="s">
        <v>113</v>
      </c>
      <c r="E425" s="2" t="s">
        <v>100</v>
      </c>
      <c r="F425" s="3">
        <v>43683</v>
      </c>
      <c r="G425" s="2" t="s">
        <v>13</v>
      </c>
      <c r="H425" s="4">
        <v>43683</v>
      </c>
      <c r="I425" s="5">
        <f t="shared" si="6"/>
        <v>2019</v>
      </c>
      <c r="J425" s="2" t="s">
        <v>37</v>
      </c>
      <c r="K425" s="2">
        <v>424</v>
      </c>
      <c r="L425" s="2">
        <v>20268</v>
      </c>
    </row>
    <row r="426" spans="1:12" x14ac:dyDescent="0.35">
      <c r="A426" s="2">
        <v>443</v>
      </c>
      <c r="B426" s="2">
        <v>120</v>
      </c>
      <c r="C426" s="2" t="s">
        <v>18</v>
      </c>
      <c r="D426" s="2" t="s">
        <v>113</v>
      </c>
      <c r="E426" s="2" t="s">
        <v>51</v>
      </c>
      <c r="F426" s="3">
        <v>43688</v>
      </c>
      <c r="G426" s="2" t="s">
        <v>13</v>
      </c>
      <c r="H426" s="4">
        <v>43688</v>
      </c>
      <c r="I426" s="5">
        <f t="shared" si="6"/>
        <v>2019</v>
      </c>
      <c r="J426" s="2" t="s">
        <v>14</v>
      </c>
      <c r="K426" s="2">
        <v>425</v>
      </c>
      <c r="L426" s="2">
        <v>20388</v>
      </c>
    </row>
    <row r="427" spans="1:12" x14ac:dyDescent="0.35">
      <c r="A427" s="2">
        <v>444</v>
      </c>
      <c r="B427" s="2">
        <v>114</v>
      </c>
      <c r="C427" s="2" t="s">
        <v>18</v>
      </c>
      <c r="D427" s="2" t="s">
        <v>113</v>
      </c>
      <c r="E427" s="2" t="s">
        <v>51</v>
      </c>
      <c r="F427" s="3">
        <v>43691</v>
      </c>
      <c r="G427" s="2" t="s">
        <v>13</v>
      </c>
      <c r="H427" s="4">
        <v>43691</v>
      </c>
      <c r="I427" s="5">
        <f t="shared" si="6"/>
        <v>2019</v>
      </c>
      <c r="J427" s="2" t="s">
        <v>14</v>
      </c>
      <c r="K427" s="2">
        <v>426</v>
      </c>
      <c r="L427" s="2">
        <v>20502</v>
      </c>
    </row>
    <row r="428" spans="1:12" x14ac:dyDescent="0.35">
      <c r="A428" s="2">
        <v>445</v>
      </c>
      <c r="B428" s="2">
        <v>9</v>
      </c>
      <c r="C428" s="2" t="s">
        <v>18</v>
      </c>
      <c r="D428" s="2" t="s">
        <v>113</v>
      </c>
      <c r="E428" s="2" t="s">
        <v>52</v>
      </c>
      <c r="F428" s="3">
        <v>43699</v>
      </c>
      <c r="G428" s="2" t="s">
        <v>13</v>
      </c>
      <c r="H428" s="4">
        <v>43699</v>
      </c>
      <c r="I428" s="5">
        <f t="shared" si="6"/>
        <v>2019</v>
      </c>
      <c r="J428" s="2" t="s">
        <v>54</v>
      </c>
      <c r="K428" s="2">
        <v>427</v>
      </c>
      <c r="L428" s="2">
        <v>20511</v>
      </c>
    </row>
    <row r="429" spans="1:12" x14ac:dyDescent="0.35">
      <c r="A429" s="2">
        <v>446</v>
      </c>
      <c r="B429" s="2">
        <v>51</v>
      </c>
      <c r="C429" s="2" t="s">
        <v>18</v>
      </c>
      <c r="D429" s="2" t="s">
        <v>113</v>
      </c>
      <c r="E429" s="2" t="s">
        <v>52</v>
      </c>
      <c r="F429" s="3">
        <v>43699</v>
      </c>
      <c r="G429" s="2" t="s">
        <v>13</v>
      </c>
      <c r="H429" s="4">
        <v>43699</v>
      </c>
      <c r="I429" s="5">
        <f t="shared" si="6"/>
        <v>2019</v>
      </c>
      <c r="J429" s="2" t="s">
        <v>54</v>
      </c>
      <c r="K429" s="2">
        <v>428</v>
      </c>
      <c r="L429" s="2">
        <v>20562</v>
      </c>
    </row>
    <row r="430" spans="1:12" x14ac:dyDescent="0.35">
      <c r="A430" s="2">
        <v>447</v>
      </c>
      <c r="B430" s="2">
        <v>76</v>
      </c>
      <c r="C430" s="2" t="s">
        <v>18</v>
      </c>
      <c r="D430" s="2" t="s">
        <v>113</v>
      </c>
      <c r="E430" s="2" t="s">
        <v>53</v>
      </c>
      <c r="F430" s="3">
        <v>43707</v>
      </c>
      <c r="G430" s="2" t="s">
        <v>13</v>
      </c>
      <c r="H430" s="4">
        <v>43707</v>
      </c>
      <c r="I430" s="5">
        <f t="shared" si="6"/>
        <v>2019</v>
      </c>
      <c r="J430" s="2" t="s">
        <v>54</v>
      </c>
      <c r="K430" s="2">
        <v>429</v>
      </c>
      <c r="L430" s="2">
        <v>20638</v>
      </c>
    </row>
    <row r="431" spans="1:12" x14ac:dyDescent="0.35">
      <c r="A431" s="2">
        <v>448</v>
      </c>
      <c r="B431" s="2">
        <v>0</v>
      </c>
      <c r="C431" s="2" t="s">
        <v>18</v>
      </c>
      <c r="D431" s="2" t="s">
        <v>113</v>
      </c>
      <c r="E431" s="2" t="s">
        <v>53</v>
      </c>
      <c r="F431" s="3">
        <v>43707</v>
      </c>
      <c r="G431" s="2" t="s">
        <v>13</v>
      </c>
      <c r="H431" s="4">
        <v>43707</v>
      </c>
      <c r="I431" s="5">
        <f t="shared" si="6"/>
        <v>2019</v>
      </c>
      <c r="J431" s="2" t="s">
        <v>54</v>
      </c>
      <c r="K431" s="2">
        <v>430</v>
      </c>
      <c r="L431" s="2">
        <v>20638</v>
      </c>
    </row>
    <row r="432" spans="1:12" x14ac:dyDescent="0.35">
      <c r="A432" s="2">
        <v>449</v>
      </c>
      <c r="B432" s="2">
        <v>72</v>
      </c>
      <c r="C432" s="2" t="s">
        <v>30</v>
      </c>
      <c r="D432" s="2" t="s">
        <v>116</v>
      </c>
      <c r="E432" s="2" t="s">
        <v>23</v>
      </c>
      <c r="F432" s="3">
        <v>43726</v>
      </c>
      <c r="G432" s="2" t="s">
        <v>13</v>
      </c>
      <c r="H432" s="4">
        <v>43726</v>
      </c>
      <c r="I432" s="5">
        <f t="shared" si="6"/>
        <v>2019</v>
      </c>
      <c r="J432" s="2" t="s">
        <v>37</v>
      </c>
      <c r="K432" s="2">
        <v>431</v>
      </c>
      <c r="L432" s="2">
        <v>20710</v>
      </c>
    </row>
    <row r="433" spans="1:12" x14ac:dyDescent="0.35">
      <c r="A433" s="2">
        <v>450</v>
      </c>
      <c r="B433" s="2">
        <v>9</v>
      </c>
      <c r="C433" s="2" t="s">
        <v>30</v>
      </c>
      <c r="D433" s="2" t="s">
        <v>116</v>
      </c>
      <c r="E433" s="2" t="s">
        <v>41</v>
      </c>
      <c r="F433" s="3">
        <v>43730</v>
      </c>
      <c r="G433" s="2" t="s">
        <v>13</v>
      </c>
      <c r="H433" s="4">
        <v>43730</v>
      </c>
      <c r="I433" s="5">
        <f t="shared" si="6"/>
        <v>2019</v>
      </c>
      <c r="J433" s="2" t="s">
        <v>37</v>
      </c>
      <c r="K433" s="2">
        <v>432</v>
      </c>
      <c r="L433" s="2">
        <v>20719</v>
      </c>
    </row>
    <row r="434" spans="1:12" x14ac:dyDescent="0.35">
      <c r="A434" s="2">
        <v>451</v>
      </c>
      <c r="B434" s="2">
        <v>20</v>
      </c>
      <c r="C434" s="2" t="s">
        <v>30</v>
      </c>
      <c r="D434" s="2" t="s">
        <v>116</v>
      </c>
      <c r="E434" s="2" t="s">
        <v>39</v>
      </c>
      <c r="F434" s="3">
        <v>43740</v>
      </c>
      <c r="G434" s="2" t="s">
        <v>22</v>
      </c>
      <c r="H434" s="4">
        <v>43740</v>
      </c>
      <c r="I434" s="5">
        <f t="shared" si="6"/>
        <v>2019</v>
      </c>
      <c r="J434" s="2" t="s">
        <v>54</v>
      </c>
      <c r="K434" s="2">
        <v>433</v>
      </c>
      <c r="L434" s="2">
        <v>20739</v>
      </c>
    </row>
    <row r="435" spans="1:12" x14ac:dyDescent="0.35">
      <c r="A435" s="2">
        <v>452</v>
      </c>
      <c r="B435" s="2">
        <v>31</v>
      </c>
      <c r="C435" s="2" t="s">
        <v>30</v>
      </c>
      <c r="D435" s="2" t="s">
        <v>116</v>
      </c>
      <c r="E435" s="2" t="s">
        <v>39</v>
      </c>
      <c r="F435" s="3">
        <v>43740</v>
      </c>
      <c r="G435" s="2" t="s">
        <v>22</v>
      </c>
      <c r="H435" s="4">
        <v>43740</v>
      </c>
      <c r="I435" s="5">
        <f t="shared" si="6"/>
        <v>2019</v>
      </c>
      <c r="J435" s="2" t="s">
        <v>54</v>
      </c>
      <c r="K435" s="2">
        <v>434</v>
      </c>
      <c r="L435" s="2">
        <v>20770</v>
      </c>
    </row>
    <row r="436" spans="1:12" x14ac:dyDescent="0.35">
      <c r="A436" s="2">
        <v>453</v>
      </c>
      <c r="B436" s="2">
        <v>254</v>
      </c>
      <c r="C436" s="2" t="s">
        <v>30</v>
      </c>
      <c r="D436" s="2" t="s">
        <v>116</v>
      </c>
      <c r="E436" s="2" t="s">
        <v>75</v>
      </c>
      <c r="F436" s="3">
        <v>43748</v>
      </c>
      <c r="G436" s="2" t="s">
        <v>22</v>
      </c>
      <c r="H436" s="4">
        <v>43748</v>
      </c>
      <c r="I436" s="5">
        <f t="shared" si="6"/>
        <v>2019</v>
      </c>
      <c r="J436" s="2" t="s">
        <v>54</v>
      </c>
      <c r="K436" s="2">
        <v>435</v>
      </c>
      <c r="L436" s="2">
        <v>21024</v>
      </c>
    </row>
    <row r="437" spans="1:12" x14ac:dyDescent="0.35">
      <c r="A437" s="2">
        <v>454</v>
      </c>
      <c r="B437" s="2">
        <v>12</v>
      </c>
      <c r="C437" s="2" t="s">
        <v>30</v>
      </c>
      <c r="D437" s="2" t="s">
        <v>116</v>
      </c>
      <c r="E437" s="2" t="s">
        <v>77</v>
      </c>
      <c r="F437" s="3">
        <v>43757</v>
      </c>
      <c r="G437" s="2" t="s">
        <v>22</v>
      </c>
      <c r="H437" s="4">
        <v>43757</v>
      </c>
      <c r="I437" s="5">
        <f t="shared" si="6"/>
        <v>2019</v>
      </c>
      <c r="J437" s="2" t="s">
        <v>54</v>
      </c>
      <c r="K437" s="2">
        <v>436</v>
      </c>
      <c r="L437" s="2">
        <v>21036</v>
      </c>
    </row>
    <row r="438" spans="1:12" x14ac:dyDescent="0.35">
      <c r="A438" s="2">
        <v>455</v>
      </c>
      <c r="B438" s="2">
        <v>0</v>
      </c>
      <c r="C438" s="2" t="s">
        <v>29</v>
      </c>
      <c r="D438" s="2" t="s">
        <v>115</v>
      </c>
      <c r="E438" s="2" t="s">
        <v>65</v>
      </c>
      <c r="F438" s="3">
        <v>43783</v>
      </c>
      <c r="G438" s="2" t="s">
        <v>22</v>
      </c>
      <c r="H438" s="4">
        <v>43783</v>
      </c>
      <c r="I438" s="5">
        <f t="shared" si="6"/>
        <v>2019</v>
      </c>
      <c r="J438" s="2" t="s">
        <v>54</v>
      </c>
      <c r="K438" s="2">
        <v>437</v>
      </c>
      <c r="L438" s="2">
        <v>21036</v>
      </c>
    </row>
    <row r="439" spans="1:12" x14ac:dyDescent="0.35">
      <c r="A439" s="2">
        <v>456</v>
      </c>
      <c r="B439" s="2">
        <v>136</v>
      </c>
      <c r="C439" s="2" t="s">
        <v>29</v>
      </c>
      <c r="D439" s="2" t="s">
        <v>115</v>
      </c>
      <c r="E439" s="2" t="s">
        <v>26</v>
      </c>
      <c r="F439" s="3">
        <v>43791</v>
      </c>
      <c r="G439" s="2" t="s">
        <v>22</v>
      </c>
      <c r="H439" s="4">
        <v>43791</v>
      </c>
      <c r="I439" s="5">
        <f t="shared" si="6"/>
        <v>2019</v>
      </c>
      <c r="J439" s="2" t="s">
        <v>54</v>
      </c>
      <c r="K439" s="2">
        <v>438</v>
      </c>
      <c r="L439" s="2">
        <v>21172</v>
      </c>
    </row>
    <row r="440" spans="1:12" x14ac:dyDescent="0.35">
      <c r="A440" s="2">
        <v>457</v>
      </c>
      <c r="B440" s="2">
        <v>94</v>
      </c>
      <c r="C440" s="2" t="s">
        <v>18</v>
      </c>
      <c r="D440" s="2" t="s">
        <v>113</v>
      </c>
      <c r="E440" s="2" t="s">
        <v>63</v>
      </c>
      <c r="F440" s="3">
        <v>43805</v>
      </c>
      <c r="G440" s="2" t="s">
        <v>22</v>
      </c>
      <c r="H440" s="4">
        <v>43805</v>
      </c>
      <c r="I440" s="5">
        <f t="shared" si="6"/>
        <v>2019</v>
      </c>
      <c r="J440" s="2" t="s">
        <v>37</v>
      </c>
      <c r="K440" s="2">
        <v>439</v>
      </c>
      <c r="L440" s="2">
        <v>21266</v>
      </c>
    </row>
    <row r="441" spans="1:12" x14ac:dyDescent="0.35">
      <c r="A441" s="2">
        <v>458</v>
      </c>
      <c r="B441" s="2">
        <v>19</v>
      </c>
      <c r="C441" s="2" t="s">
        <v>18</v>
      </c>
      <c r="D441" s="2" t="s">
        <v>113</v>
      </c>
      <c r="E441" s="2" t="s">
        <v>95</v>
      </c>
      <c r="F441" s="3">
        <v>43807</v>
      </c>
      <c r="G441" s="2" t="s">
        <v>22</v>
      </c>
      <c r="H441" s="4">
        <v>43807</v>
      </c>
      <c r="I441" s="5">
        <f t="shared" si="6"/>
        <v>2019</v>
      </c>
      <c r="J441" s="2" t="s">
        <v>37</v>
      </c>
      <c r="K441" s="2">
        <v>440</v>
      </c>
      <c r="L441" s="2">
        <v>21285</v>
      </c>
    </row>
    <row r="442" spans="1:12" x14ac:dyDescent="0.35">
      <c r="A442" s="2">
        <v>459</v>
      </c>
      <c r="B442" s="2">
        <v>70</v>
      </c>
      <c r="C442" s="2" t="s">
        <v>18</v>
      </c>
      <c r="D442" s="2" t="s">
        <v>113</v>
      </c>
      <c r="E442" s="2" t="s">
        <v>50</v>
      </c>
      <c r="F442" s="3">
        <v>43810</v>
      </c>
      <c r="G442" s="2" t="s">
        <v>22</v>
      </c>
      <c r="H442" s="4">
        <v>43810</v>
      </c>
      <c r="I442" s="5">
        <f t="shared" si="6"/>
        <v>2019</v>
      </c>
      <c r="J442" s="2" t="s">
        <v>37</v>
      </c>
      <c r="K442" s="2">
        <v>441</v>
      </c>
      <c r="L442" s="2">
        <v>21355</v>
      </c>
    </row>
    <row r="443" spans="1:12" x14ac:dyDescent="0.35">
      <c r="A443" s="2">
        <v>460</v>
      </c>
      <c r="B443" s="2">
        <v>4</v>
      </c>
      <c r="C443" s="2" t="s">
        <v>18</v>
      </c>
      <c r="D443" s="2" t="s">
        <v>113</v>
      </c>
      <c r="E443" s="2" t="s">
        <v>42</v>
      </c>
      <c r="F443" s="3">
        <v>43814</v>
      </c>
      <c r="G443" s="2" t="s">
        <v>22</v>
      </c>
      <c r="H443" s="4">
        <v>43814</v>
      </c>
      <c r="I443" s="5">
        <f t="shared" si="6"/>
        <v>2019</v>
      </c>
      <c r="J443" s="2" t="s">
        <v>14</v>
      </c>
      <c r="K443" s="2">
        <v>442</v>
      </c>
      <c r="L443" s="2">
        <v>21359</v>
      </c>
    </row>
    <row r="444" spans="1:12" x14ac:dyDescent="0.35">
      <c r="A444" s="2">
        <v>461</v>
      </c>
      <c r="B444" s="2">
        <v>0</v>
      </c>
      <c r="C444" s="2" t="s">
        <v>18</v>
      </c>
      <c r="D444" s="2" t="s">
        <v>113</v>
      </c>
      <c r="E444" s="2" t="s">
        <v>39</v>
      </c>
      <c r="F444" s="3">
        <v>43817</v>
      </c>
      <c r="G444" s="2" t="s">
        <v>22</v>
      </c>
      <c r="H444" s="4">
        <v>43817</v>
      </c>
      <c r="I444" s="5">
        <f t="shared" si="6"/>
        <v>2019</v>
      </c>
      <c r="J444" s="2" t="s">
        <v>14</v>
      </c>
      <c r="K444" s="2">
        <v>443</v>
      </c>
      <c r="L444" s="2">
        <v>21359</v>
      </c>
    </row>
    <row r="445" spans="1:12" x14ac:dyDescent="0.35">
      <c r="A445" s="2">
        <v>462</v>
      </c>
      <c r="B445" s="2">
        <v>85</v>
      </c>
      <c r="C445" s="2" t="s">
        <v>18</v>
      </c>
      <c r="D445" s="2" t="s">
        <v>113</v>
      </c>
      <c r="E445" s="2" t="s">
        <v>64</v>
      </c>
      <c r="F445" s="3">
        <v>43821</v>
      </c>
      <c r="G445" s="2" t="s">
        <v>22</v>
      </c>
      <c r="H445" s="4">
        <v>43821</v>
      </c>
      <c r="I445" s="5">
        <f t="shared" si="6"/>
        <v>2019</v>
      </c>
      <c r="J445" s="2" t="s">
        <v>14</v>
      </c>
      <c r="K445" s="2">
        <v>444</v>
      </c>
      <c r="L445" s="2">
        <v>21444</v>
      </c>
    </row>
    <row r="446" spans="1:12" x14ac:dyDescent="0.35">
      <c r="A446" s="2">
        <v>464</v>
      </c>
      <c r="B446" s="2">
        <v>30</v>
      </c>
      <c r="C446" s="2" t="s">
        <v>11</v>
      </c>
      <c r="D446" s="2" t="s">
        <v>111</v>
      </c>
      <c r="E446" s="2" t="s">
        <v>65</v>
      </c>
      <c r="F446" s="3">
        <v>43837</v>
      </c>
      <c r="G446" s="2" t="s">
        <v>28</v>
      </c>
      <c r="H446" s="4">
        <v>43837</v>
      </c>
      <c r="I446" s="5">
        <f t="shared" si="6"/>
        <v>2020</v>
      </c>
      <c r="J446" s="2" t="s">
        <v>37</v>
      </c>
      <c r="K446" s="2">
        <v>445</v>
      </c>
      <c r="L446" s="2">
        <v>21474</v>
      </c>
    </row>
    <row r="447" spans="1:12" x14ac:dyDescent="0.35">
      <c r="A447" s="2">
        <v>465</v>
      </c>
      <c r="B447" s="2">
        <v>26</v>
      </c>
      <c r="C447" s="2" t="s">
        <v>11</v>
      </c>
      <c r="D447" s="2" t="s">
        <v>111</v>
      </c>
      <c r="E447" s="2" t="s">
        <v>75</v>
      </c>
      <c r="F447" s="3">
        <v>43840</v>
      </c>
      <c r="G447" s="2" t="s">
        <v>28</v>
      </c>
      <c r="H447" s="4">
        <v>43840</v>
      </c>
      <c r="I447" s="5">
        <f t="shared" si="6"/>
        <v>2020</v>
      </c>
      <c r="J447" s="2" t="s">
        <v>37</v>
      </c>
      <c r="K447" s="2">
        <v>446</v>
      </c>
      <c r="L447" s="2">
        <v>21500</v>
      </c>
    </row>
    <row r="448" spans="1:12" x14ac:dyDescent="0.35">
      <c r="A448" s="2">
        <v>466</v>
      </c>
      <c r="B448" s="2">
        <v>16</v>
      </c>
      <c r="C448" s="2" t="s">
        <v>20</v>
      </c>
      <c r="D448" s="2" t="s">
        <v>114</v>
      </c>
      <c r="E448" s="2" t="s">
        <v>50</v>
      </c>
      <c r="F448" s="3">
        <v>43844</v>
      </c>
      <c r="G448" s="2" t="s">
        <v>28</v>
      </c>
      <c r="H448" s="4">
        <v>43844</v>
      </c>
      <c r="I448" s="5">
        <f t="shared" si="6"/>
        <v>2020</v>
      </c>
      <c r="J448" s="2" t="s">
        <v>14</v>
      </c>
      <c r="K448" s="2">
        <v>447</v>
      </c>
      <c r="L448" s="2">
        <v>21516</v>
      </c>
    </row>
    <row r="449" spans="1:12" x14ac:dyDescent="0.35">
      <c r="A449" s="2">
        <v>467</v>
      </c>
      <c r="B449" s="2">
        <v>78</v>
      </c>
      <c r="C449" s="2" t="s">
        <v>20</v>
      </c>
      <c r="D449" s="2" t="s">
        <v>114</v>
      </c>
      <c r="E449" s="2" t="s">
        <v>24</v>
      </c>
      <c r="F449" s="3">
        <v>43847</v>
      </c>
      <c r="G449" s="2" t="s">
        <v>28</v>
      </c>
      <c r="H449" s="4">
        <v>43847</v>
      </c>
      <c r="I449" s="5">
        <f t="shared" si="6"/>
        <v>2020</v>
      </c>
      <c r="J449" s="2" t="s">
        <v>14</v>
      </c>
      <c r="K449" s="2">
        <v>448</v>
      </c>
      <c r="L449" s="2">
        <v>21594</v>
      </c>
    </row>
    <row r="450" spans="1:12" x14ac:dyDescent="0.35">
      <c r="A450" s="2">
        <v>468</v>
      </c>
      <c r="B450" s="2">
        <v>89</v>
      </c>
      <c r="C450" s="2" t="s">
        <v>20</v>
      </c>
      <c r="D450" s="2" t="s">
        <v>114</v>
      </c>
      <c r="E450" s="2" t="s">
        <v>41</v>
      </c>
      <c r="F450" s="3">
        <v>43849</v>
      </c>
      <c r="G450" s="2" t="s">
        <v>28</v>
      </c>
      <c r="H450" s="4">
        <v>43849</v>
      </c>
      <c r="I450" s="5">
        <f t="shared" si="6"/>
        <v>2020</v>
      </c>
      <c r="J450" s="2" t="s">
        <v>14</v>
      </c>
      <c r="K450" s="2">
        <v>449</v>
      </c>
      <c r="L450" s="2">
        <v>21683</v>
      </c>
    </row>
    <row r="451" spans="1:12" x14ac:dyDescent="0.35">
      <c r="A451" s="2">
        <v>469</v>
      </c>
      <c r="B451" s="2">
        <v>45</v>
      </c>
      <c r="C451" s="2" t="s">
        <v>38</v>
      </c>
      <c r="D451" s="2" t="s">
        <v>118</v>
      </c>
      <c r="E451" s="2" t="s">
        <v>83</v>
      </c>
      <c r="F451" s="3">
        <v>43854</v>
      </c>
      <c r="G451" s="2" t="s">
        <v>28</v>
      </c>
      <c r="H451" s="4">
        <v>43854</v>
      </c>
      <c r="I451" s="5">
        <f t="shared" ref="I451:I514" si="7">YEAR(F451)</f>
        <v>2020</v>
      </c>
      <c r="J451" s="2" t="s">
        <v>37</v>
      </c>
      <c r="K451" s="2">
        <v>450</v>
      </c>
      <c r="L451" s="2">
        <v>21728</v>
      </c>
    </row>
    <row r="452" spans="1:12" x14ac:dyDescent="0.35">
      <c r="A452" s="2">
        <v>470</v>
      </c>
      <c r="B452" s="2">
        <v>11</v>
      </c>
      <c r="C452" s="2" t="s">
        <v>38</v>
      </c>
      <c r="D452" s="2" t="s">
        <v>118</v>
      </c>
      <c r="E452" s="2" t="s">
        <v>83</v>
      </c>
      <c r="F452" s="3">
        <v>43856</v>
      </c>
      <c r="G452" s="2" t="s">
        <v>28</v>
      </c>
      <c r="H452" s="4">
        <v>43856</v>
      </c>
      <c r="I452" s="5">
        <f t="shared" si="7"/>
        <v>2020</v>
      </c>
      <c r="J452" s="2" t="s">
        <v>37</v>
      </c>
      <c r="K452" s="2">
        <v>451</v>
      </c>
      <c r="L452" s="2">
        <v>21739</v>
      </c>
    </row>
    <row r="453" spans="1:12" x14ac:dyDescent="0.35">
      <c r="A453" s="2">
        <v>471</v>
      </c>
      <c r="B453" s="2">
        <v>38</v>
      </c>
      <c r="C453" s="2" t="s">
        <v>38</v>
      </c>
      <c r="D453" s="2" t="s">
        <v>118</v>
      </c>
      <c r="E453" s="2" t="s">
        <v>82</v>
      </c>
      <c r="F453" s="3">
        <v>43859</v>
      </c>
      <c r="G453" s="2" t="s">
        <v>28</v>
      </c>
      <c r="H453" s="4">
        <v>43859</v>
      </c>
      <c r="I453" s="5">
        <f t="shared" si="7"/>
        <v>2020</v>
      </c>
      <c r="J453" s="2" t="s">
        <v>37</v>
      </c>
      <c r="K453" s="2">
        <v>452</v>
      </c>
      <c r="L453" s="2">
        <v>21777</v>
      </c>
    </row>
    <row r="454" spans="1:12" x14ac:dyDescent="0.35">
      <c r="A454" s="2">
        <v>472</v>
      </c>
      <c r="B454" s="2">
        <v>11</v>
      </c>
      <c r="C454" s="2" t="s">
        <v>38</v>
      </c>
      <c r="D454" s="2" t="s">
        <v>118</v>
      </c>
      <c r="E454" s="2" t="s">
        <v>84</v>
      </c>
      <c r="F454" s="3">
        <v>43861</v>
      </c>
      <c r="G454" s="2" t="s">
        <v>28</v>
      </c>
      <c r="H454" s="4">
        <v>43861</v>
      </c>
      <c r="I454" s="5">
        <f t="shared" si="7"/>
        <v>2020</v>
      </c>
      <c r="J454" s="2" t="s">
        <v>37</v>
      </c>
      <c r="K454" s="2">
        <v>453</v>
      </c>
      <c r="L454" s="2">
        <v>21788</v>
      </c>
    </row>
    <row r="455" spans="1:12" x14ac:dyDescent="0.35">
      <c r="A455" s="2">
        <v>473</v>
      </c>
      <c r="B455" s="2">
        <v>51</v>
      </c>
      <c r="C455" s="2" t="s">
        <v>38</v>
      </c>
      <c r="D455" s="2" t="s">
        <v>118</v>
      </c>
      <c r="E455" s="2" t="s">
        <v>82</v>
      </c>
      <c r="F455" s="3">
        <v>43866</v>
      </c>
      <c r="G455" s="2" t="s">
        <v>28</v>
      </c>
      <c r="H455" s="4">
        <v>43866</v>
      </c>
      <c r="I455" s="5">
        <f t="shared" si="7"/>
        <v>2020</v>
      </c>
      <c r="J455" s="2" t="s">
        <v>14</v>
      </c>
      <c r="K455" s="2">
        <v>454</v>
      </c>
      <c r="L455" s="2">
        <v>21839</v>
      </c>
    </row>
    <row r="456" spans="1:12" x14ac:dyDescent="0.35">
      <c r="A456" s="2">
        <v>474</v>
      </c>
      <c r="B456" s="2">
        <v>15</v>
      </c>
      <c r="C456" s="2" t="s">
        <v>38</v>
      </c>
      <c r="D456" s="2" t="s">
        <v>118</v>
      </c>
      <c r="E456" s="2" t="s">
        <v>83</v>
      </c>
      <c r="F456" s="3">
        <v>43869</v>
      </c>
      <c r="G456" s="2" t="s">
        <v>28</v>
      </c>
      <c r="H456" s="4">
        <v>43869</v>
      </c>
      <c r="I456" s="5">
        <f t="shared" si="7"/>
        <v>2020</v>
      </c>
      <c r="J456" s="2" t="s">
        <v>14</v>
      </c>
      <c r="K456" s="2">
        <v>455</v>
      </c>
      <c r="L456" s="2">
        <v>21854</v>
      </c>
    </row>
    <row r="457" spans="1:12" x14ac:dyDescent="0.35">
      <c r="A457" s="2">
        <v>475</v>
      </c>
      <c r="B457" s="2">
        <v>9</v>
      </c>
      <c r="C457" s="2" t="s">
        <v>38</v>
      </c>
      <c r="D457" s="2" t="s">
        <v>118</v>
      </c>
      <c r="E457" s="2" t="s">
        <v>99</v>
      </c>
      <c r="F457" s="3">
        <v>43872</v>
      </c>
      <c r="G457" s="2" t="s">
        <v>28</v>
      </c>
      <c r="H457" s="4">
        <v>43872</v>
      </c>
      <c r="I457" s="5">
        <f t="shared" si="7"/>
        <v>2020</v>
      </c>
      <c r="J457" s="2" t="s">
        <v>14</v>
      </c>
      <c r="K457" s="2">
        <v>456</v>
      </c>
      <c r="L457" s="2">
        <v>21863</v>
      </c>
    </row>
    <row r="458" spans="1:12" x14ac:dyDescent="0.35">
      <c r="A458" s="2">
        <v>476</v>
      </c>
      <c r="B458" s="2">
        <v>2</v>
      </c>
      <c r="C458" s="2" t="s">
        <v>38</v>
      </c>
      <c r="D458" s="2" t="s">
        <v>118</v>
      </c>
      <c r="E458" s="2" t="s">
        <v>84</v>
      </c>
      <c r="F458" s="3">
        <v>43882</v>
      </c>
      <c r="G458" s="2" t="s">
        <v>28</v>
      </c>
      <c r="H458" s="4">
        <v>43882</v>
      </c>
      <c r="I458" s="5">
        <f t="shared" si="7"/>
        <v>2020</v>
      </c>
      <c r="J458" s="2" t="s">
        <v>54</v>
      </c>
      <c r="K458" s="2">
        <v>457</v>
      </c>
      <c r="L458" s="2">
        <v>21865</v>
      </c>
    </row>
    <row r="459" spans="1:12" x14ac:dyDescent="0.35">
      <c r="A459" s="2">
        <v>477</v>
      </c>
      <c r="B459" s="2">
        <v>19</v>
      </c>
      <c r="C459" s="2" t="s">
        <v>38</v>
      </c>
      <c r="D459" s="2" t="s">
        <v>118</v>
      </c>
      <c r="E459" s="2" t="s">
        <v>84</v>
      </c>
      <c r="F459" s="3">
        <v>43882</v>
      </c>
      <c r="G459" s="2" t="s">
        <v>28</v>
      </c>
      <c r="H459" s="4">
        <v>43882</v>
      </c>
      <c r="I459" s="5">
        <f t="shared" si="7"/>
        <v>2020</v>
      </c>
      <c r="J459" s="2" t="s">
        <v>54</v>
      </c>
      <c r="K459" s="2">
        <v>458</v>
      </c>
      <c r="L459" s="2">
        <v>21884</v>
      </c>
    </row>
    <row r="460" spans="1:12" x14ac:dyDescent="0.35">
      <c r="A460" s="2">
        <v>478</v>
      </c>
      <c r="B460" s="2">
        <v>3</v>
      </c>
      <c r="C460" s="2" t="s">
        <v>38</v>
      </c>
      <c r="D460" s="2" t="s">
        <v>118</v>
      </c>
      <c r="E460" s="2" t="s">
        <v>101</v>
      </c>
      <c r="F460" s="3">
        <v>43890</v>
      </c>
      <c r="G460" s="2" t="s">
        <v>28</v>
      </c>
      <c r="H460" s="4">
        <v>43890</v>
      </c>
      <c r="I460" s="5">
        <f t="shared" si="7"/>
        <v>2020</v>
      </c>
      <c r="J460" s="2" t="s">
        <v>54</v>
      </c>
      <c r="K460" s="2">
        <v>459</v>
      </c>
      <c r="L460" s="2">
        <v>21887</v>
      </c>
    </row>
    <row r="461" spans="1:12" x14ac:dyDescent="0.35">
      <c r="A461" s="2">
        <v>479</v>
      </c>
      <c r="B461" s="2">
        <v>14</v>
      </c>
      <c r="C461" s="2" t="s">
        <v>38</v>
      </c>
      <c r="D461" s="2" t="s">
        <v>118</v>
      </c>
      <c r="E461" s="2" t="s">
        <v>101</v>
      </c>
      <c r="F461" s="3">
        <v>43890</v>
      </c>
      <c r="G461" s="2" t="s">
        <v>28</v>
      </c>
      <c r="H461" s="4">
        <v>43890</v>
      </c>
      <c r="I461" s="5">
        <f t="shared" si="7"/>
        <v>2020</v>
      </c>
      <c r="J461" s="2" t="s">
        <v>54</v>
      </c>
      <c r="K461" s="2">
        <v>460</v>
      </c>
      <c r="L461" s="2">
        <v>21901</v>
      </c>
    </row>
    <row r="462" spans="1:12" x14ac:dyDescent="0.35">
      <c r="A462" s="2">
        <v>480</v>
      </c>
      <c r="B462" s="2">
        <v>21</v>
      </c>
      <c r="C462" s="2" t="s">
        <v>20</v>
      </c>
      <c r="D462" s="2" t="s">
        <v>114</v>
      </c>
      <c r="E462" s="2" t="s">
        <v>67</v>
      </c>
      <c r="F462" s="3">
        <v>44162</v>
      </c>
      <c r="G462" s="2" t="s">
        <v>22</v>
      </c>
      <c r="H462" s="4">
        <v>44162</v>
      </c>
      <c r="I462" s="5">
        <f t="shared" si="7"/>
        <v>2020</v>
      </c>
      <c r="J462" s="2" t="s">
        <v>14</v>
      </c>
      <c r="K462" s="2">
        <v>461</v>
      </c>
      <c r="L462" s="2">
        <v>21922</v>
      </c>
    </row>
    <row r="463" spans="1:12" x14ac:dyDescent="0.35">
      <c r="A463" s="2">
        <v>481</v>
      </c>
      <c r="B463" s="2">
        <v>89</v>
      </c>
      <c r="C463" s="2" t="s">
        <v>20</v>
      </c>
      <c r="D463" s="2" t="s">
        <v>114</v>
      </c>
      <c r="E463" s="2" t="s">
        <v>67</v>
      </c>
      <c r="F463" s="3">
        <v>44164</v>
      </c>
      <c r="G463" s="2" t="s">
        <v>22</v>
      </c>
      <c r="H463" s="4">
        <v>44164</v>
      </c>
      <c r="I463" s="5">
        <f t="shared" si="7"/>
        <v>2020</v>
      </c>
      <c r="J463" s="2" t="s">
        <v>14</v>
      </c>
      <c r="K463" s="2">
        <v>462</v>
      </c>
      <c r="L463" s="2">
        <v>22011</v>
      </c>
    </row>
    <row r="464" spans="1:12" x14ac:dyDescent="0.35">
      <c r="A464" s="2">
        <v>482</v>
      </c>
      <c r="B464" s="2">
        <v>63</v>
      </c>
      <c r="C464" s="2" t="s">
        <v>20</v>
      </c>
      <c r="D464" s="2" t="s">
        <v>114</v>
      </c>
      <c r="E464" s="2" t="s">
        <v>92</v>
      </c>
      <c r="F464" s="3">
        <v>44167</v>
      </c>
      <c r="G464" s="2" t="s">
        <v>22</v>
      </c>
      <c r="H464" s="4">
        <v>44167</v>
      </c>
      <c r="I464" s="5">
        <f t="shared" si="7"/>
        <v>2020</v>
      </c>
      <c r="J464" s="2" t="s">
        <v>14</v>
      </c>
      <c r="K464" s="2">
        <v>463</v>
      </c>
      <c r="L464" s="2">
        <v>22074</v>
      </c>
    </row>
    <row r="465" spans="1:12" x14ac:dyDescent="0.35">
      <c r="A465" s="2">
        <v>483</v>
      </c>
      <c r="B465" s="2">
        <v>9</v>
      </c>
      <c r="C465" s="2" t="s">
        <v>20</v>
      </c>
      <c r="D465" s="2" t="s">
        <v>114</v>
      </c>
      <c r="E465" s="2" t="s">
        <v>92</v>
      </c>
      <c r="F465" s="3">
        <v>44169</v>
      </c>
      <c r="G465" s="2" t="s">
        <v>22</v>
      </c>
      <c r="H465" s="4">
        <v>44169</v>
      </c>
      <c r="I465" s="5">
        <f t="shared" si="7"/>
        <v>2020</v>
      </c>
      <c r="J465" s="2" t="s">
        <v>37</v>
      </c>
      <c r="K465" s="2">
        <v>464</v>
      </c>
      <c r="L465" s="2">
        <v>22083</v>
      </c>
    </row>
    <row r="466" spans="1:12" x14ac:dyDescent="0.35">
      <c r="A466" s="2">
        <v>484</v>
      </c>
      <c r="B466" s="2">
        <v>40</v>
      </c>
      <c r="C466" s="2" t="s">
        <v>20</v>
      </c>
      <c r="D466" s="2" t="s">
        <v>114</v>
      </c>
      <c r="E466" s="2" t="s">
        <v>67</v>
      </c>
      <c r="F466" s="3">
        <v>44171</v>
      </c>
      <c r="G466" s="2" t="s">
        <v>22</v>
      </c>
      <c r="H466" s="4">
        <v>44171</v>
      </c>
      <c r="I466" s="5">
        <f t="shared" si="7"/>
        <v>2020</v>
      </c>
      <c r="J466" s="2" t="s">
        <v>37</v>
      </c>
      <c r="K466" s="2">
        <v>465</v>
      </c>
      <c r="L466" s="2">
        <v>22123</v>
      </c>
    </row>
    <row r="467" spans="1:12" x14ac:dyDescent="0.35">
      <c r="A467" s="2">
        <v>485</v>
      </c>
      <c r="B467" s="2">
        <v>85</v>
      </c>
      <c r="C467" s="2" t="s">
        <v>20</v>
      </c>
      <c r="D467" s="2" t="s">
        <v>114</v>
      </c>
      <c r="E467" s="2" t="s">
        <v>67</v>
      </c>
      <c r="F467" s="3">
        <v>44173</v>
      </c>
      <c r="G467" s="2" t="s">
        <v>22</v>
      </c>
      <c r="H467" s="4">
        <v>44173</v>
      </c>
      <c r="I467" s="5">
        <f t="shared" si="7"/>
        <v>2020</v>
      </c>
      <c r="J467" s="2" t="s">
        <v>37</v>
      </c>
      <c r="K467" s="2">
        <v>466</v>
      </c>
      <c r="L467" s="2">
        <v>22208</v>
      </c>
    </row>
    <row r="468" spans="1:12" x14ac:dyDescent="0.35">
      <c r="A468" s="2">
        <v>486</v>
      </c>
      <c r="B468" s="2">
        <v>74</v>
      </c>
      <c r="C468" s="2" t="s">
        <v>20</v>
      </c>
      <c r="D468" s="2" t="s">
        <v>114</v>
      </c>
      <c r="E468" s="2" t="s">
        <v>69</v>
      </c>
      <c r="F468" s="3">
        <v>44182</v>
      </c>
      <c r="G468" s="2" t="s">
        <v>22</v>
      </c>
      <c r="H468" s="4">
        <v>44182</v>
      </c>
      <c r="I468" s="5">
        <f t="shared" si="7"/>
        <v>2020</v>
      </c>
      <c r="J468" s="2" t="s">
        <v>54</v>
      </c>
      <c r="K468" s="2">
        <v>467</v>
      </c>
      <c r="L468" s="2">
        <v>22282</v>
      </c>
    </row>
    <row r="469" spans="1:12" x14ac:dyDescent="0.35">
      <c r="A469" s="2">
        <v>487</v>
      </c>
      <c r="B469" s="2">
        <v>4</v>
      </c>
      <c r="C469" s="2" t="s">
        <v>20</v>
      </c>
      <c r="D469" s="2" t="s">
        <v>114</v>
      </c>
      <c r="E469" s="2" t="s">
        <v>69</v>
      </c>
      <c r="F469" s="3">
        <v>44182</v>
      </c>
      <c r="G469" s="2" t="s">
        <v>22</v>
      </c>
      <c r="H469" s="4">
        <v>44182</v>
      </c>
      <c r="I469" s="5">
        <f t="shared" si="7"/>
        <v>2020</v>
      </c>
      <c r="J469" s="2" t="s">
        <v>54</v>
      </c>
      <c r="K469" s="2">
        <v>468</v>
      </c>
      <c r="L469" s="2">
        <v>22286</v>
      </c>
    </row>
    <row r="470" spans="1:12" x14ac:dyDescent="0.35">
      <c r="A470" s="2">
        <v>488</v>
      </c>
      <c r="B470" s="2">
        <v>11</v>
      </c>
      <c r="C470" s="2" t="s">
        <v>46</v>
      </c>
      <c r="D470" s="2" t="s">
        <v>119</v>
      </c>
      <c r="E470" s="2" t="s">
        <v>42</v>
      </c>
      <c r="F470" s="3">
        <v>44232</v>
      </c>
      <c r="G470" s="2" t="s">
        <v>28</v>
      </c>
      <c r="H470" s="4">
        <v>44232</v>
      </c>
      <c r="I470" s="5">
        <f t="shared" si="7"/>
        <v>2021</v>
      </c>
      <c r="J470" s="2" t="s">
        <v>54</v>
      </c>
      <c r="K470" s="2">
        <v>469</v>
      </c>
      <c r="L470" s="2">
        <v>22297</v>
      </c>
    </row>
    <row r="471" spans="1:12" x14ac:dyDescent="0.35">
      <c r="A471" s="2">
        <v>489</v>
      </c>
      <c r="B471" s="2">
        <v>72</v>
      </c>
      <c r="C471" s="2" t="s">
        <v>46</v>
      </c>
      <c r="D471" s="2" t="s">
        <v>119</v>
      </c>
      <c r="E471" s="2" t="s">
        <v>42</v>
      </c>
      <c r="F471" s="3">
        <v>44232</v>
      </c>
      <c r="G471" s="2" t="s">
        <v>28</v>
      </c>
      <c r="H471" s="4">
        <v>44232</v>
      </c>
      <c r="I471" s="5">
        <f t="shared" si="7"/>
        <v>2021</v>
      </c>
      <c r="J471" s="2" t="s">
        <v>54</v>
      </c>
      <c r="K471" s="2">
        <v>470</v>
      </c>
      <c r="L471" s="2">
        <v>22369</v>
      </c>
    </row>
    <row r="472" spans="1:12" x14ac:dyDescent="0.35">
      <c r="A472" s="2">
        <v>490</v>
      </c>
      <c r="B472" s="2">
        <v>0</v>
      </c>
      <c r="C472" s="2" t="s">
        <v>46</v>
      </c>
      <c r="D472" s="2" t="s">
        <v>119</v>
      </c>
      <c r="E472" s="2" t="s">
        <v>42</v>
      </c>
      <c r="F472" s="3">
        <v>44240</v>
      </c>
      <c r="G472" s="2" t="s">
        <v>28</v>
      </c>
      <c r="H472" s="4">
        <v>44240</v>
      </c>
      <c r="I472" s="5">
        <f t="shared" si="7"/>
        <v>2021</v>
      </c>
      <c r="J472" s="2" t="s">
        <v>54</v>
      </c>
      <c r="K472" s="2">
        <v>471</v>
      </c>
      <c r="L472" s="2">
        <v>22369</v>
      </c>
    </row>
    <row r="473" spans="1:12" x14ac:dyDescent="0.35">
      <c r="A473" s="2">
        <v>491</v>
      </c>
      <c r="B473" s="2">
        <v>62</v>
      </c>
      <c r="C473" s="2" t="s">
        <v>46</v>
      </c>
      <c r="D473" s="2" t="s">
        <v>119</v>
      </c>
      <c r="E473" s="2" t="s">
        <v>42</v>
      </c>
      <c r="F473" s="3">
        <v>44240</v>
      </c>
      <c r="G473" s="2" t="s">
        <v>28</v>
      </c>
      <c r="H473" s="4">
        <v>44240</v>
      </c>
      <c r="I473" s="5">
        <f t="shared" si="7"/>
        <v>2021</v>
      </c>
      <c r="J473" s="2" t="s">
        <v>54</v>
      </c>
      <c r="K473" s="2">
        <v>472</v>
      </c>
      <c r="L473" s="2">
        <v>22431</v>
      </c>
    </row>
    <row r="474" spans="1:12" x14ac:dyDescent="0.35">
      <c r="A474" s="2">
        <v>492</v>
      </c>
      <c r="B474" s="2">
        <v>27</v>
      </c>
      <c r="C474" s="2" t="s">
        <v>46</v>
      </c>
      <c r="D474" s="2" t="s">
        <v>119</v>
      </c>
      <c r="E474" s="2" t="s">
        <v>32</v>
      </c>
      <c r="F474" s="3">
        <v>44251</v>
      </c>
      <c r="G474" s="2" t="s">
        <v>28</v>
      </c>
      <c r="H474" s="4">
        <v>44251</v>
      </c>
      <c r="I474" s="5">
        <f t="shared" si="7"/>
        <v>2021</v>
      </c>
      <c r="J474" s="2" t="s">
        <v>54</v>
      </c>
      <c r="K474" s="2">
        <v>473</v>
      </c>
      <c r="L474" s="2">
        <v>22458</v>
      </c>
    </row>
    <row r="475" spans="1:12" x14ac:dyDescent="0.35">
      <c r="A475" s="2">
        <v>494</v>
      </c>
      <c r="B475" s="2">
        <v>0</v>
      </c>
      <c r="C475" s="2" t="s">
        <v>46</v>
      </c>
      <c r="D475" s="2" t="s">
        <v>119</v>
      </c>
      <c r="E475" s="2" t="s">
        <v>32</v>
      </c>
      <c r="F475" s="3">
        <v>44259</v>
      </c>
      <c r="G475" s="2" t="s">
        <v>28</v>
      </c>
      <c r="H475" s="4">
        <v>44259</v>
      </c>
      <c r="I475" s="5">
        <f t="shared" si="7"/>
        <v>2021</v>
      </c>
      <c r="J475" s="2" t="s">
        <v>54</v>
      </c>
      <c r="K475" s="2">
        <v>474</v>
      </c>
      <c r="L475" s="2">
        <v>22458</v>
      </c>
    </row>
    <row r="476" spans="1:12" x14ac:dyDescent="0.35">
      <c r="A476" s="2">
        <v>495</v>
      </c>
      <c r="B476" s="2">
        <v>0</v>
      </c>
      <c r="C476" s="2" t="s">
        <v>46</v>
      </c>
      <c r="D476" s="2" t="s">
        <v>119</v>
      </c>
      <c r="E476" s="2" t="s">
        <v>32</v>
      </c>
      <c r="F476" s="3">
        <v>44267</v>
      </c>
      <c r="G476" s="2" t="s">
        <v>28</v>
      </c>
      <c r="H476" s="4">
        <v>44267</v>
      </c>
      <c r="I476" s="5">
        <f t="shared" si="7"/>
        <v>2021</v>
      </c>
      <c r="J476" s="2" t="s">
        <v>37</v>
      </c>
      <c r="K476" s="2">
        <v>475</v>
      </c>
      <c r="L476" s="2">
        <v>22458</v>
      </c>
    </row>
    <row r="477" spans="1:12" x14ac:dyDescent="0.35">
      <c r="A477" s="2">
        <v>496</v>
      </c>
      <c r="B477" s="2">
        <v>73</v>
      </c>
      <c r="C477" s="2" t="s">
        <v>46</v>
      </c>
      <c r="D477" s="2" t="s">
        <v>119</v>
      </c>
      <c r="E477" s="2" t="s">
        <v>32</v>
      </c>
      <c r="F477" s="3">
        <v>44269</v>
      </c>
      <c r="G477" s="2" t="s">
        <v>28</v>
      </c>
      <c r="H477" s="4">
        <v>44269</v>
      </c>
      <c r="I477" s="5">
        <f t="shared" si="7"/>
        <v>2021</v>
      </c>
      <c r="J477" s="2" t="s">
        <v>37</v>
      </c>
      <c r="K477" s="2">
        <v>476</v>
      </c>
      <c r="L477" s="2">
        <v>22531</v>
      </c>
    </row>
    <row r="478" spans="1:12" x14ac:dyDescent="0.35">
      <c r="A478" s="2">
        <v>497</v>
      </c>
      <c r="B478" s="2">
        <v>77</v>
      </c>
      <c r="C478" s="2" t="s">
        <v>46</v>
      </c>
      <c r="D478" s="2" t="s">
        <v>119</v>
      </c>
      <c r="E478" s="2" t="s">
        <v>32</v>
      </c>
      <c r="F478" s="3">
        <v>44271</v>
      </c>
      <c r="G478" s="2" t="s">
        <v>28</v>
      </c>
      <c r="H478" s="4">
        <v>44271</v>
      </c>
      <c r="I478" s="5">
        <f t="shared" si="7"/>
        <v>2021</v>
      </c>
      <c r="J478" s="2" t="s">
        <v>37</v>
      </c>
      <c r="K478" s="2">
        <v>477</v>
      </c>
      <c r="L478" s="2">
        <v>22608</v>
      </c>
    </row>
    <row r="479" spans="1:12" x14ac:dyDescent="0.35">
      <c r="A479" s="2">
        <v>498</v>
      </c>
      <c r="B479" s="2">
        <v>1</v>
      </c>
      <c r="C479" s="2" t="s">
        <v>46</v>
      </c>
      <c r="D479" s="2" t="s">
        <v>119</v>
      </c>
      <c r="E479" s="2" t="s">
        <v>32</v>
      </c>
      <c r="F479" s="3">
        <v>44273</v>
      </c>
      <c r="G479" s="2" t="s">
        <v>28</v>
      </c>
      <c r="H479" s="4">
        <v>44273</v>
      </c>
      <c r="I479" s="5">
        <f t="shared" si="7"/>
        <v>2021</v>
      </c>
      <c r="J479" s="2" t="s">
        <v>37</v>
      </c>
      <c r="K479" s="2">
        <v>478</v>
      </c>
      <c r="L479" s="2">
        <v>22609</v>
      </c>
    </row>
    <row r="480" spans="1:12" x14ac:dyDescent="0.35">
      <c r="A480" s="2">
        <v>499</v>
      </c>
      <c r="B480" s="2">
        <v>80</v>
      </c>
      <c r="C480" s="2" t="s">
        <v>46</v>
      </c>
      <c r="D480" s="2" t="s">
        <v>119</v>
      </c>
      <c r="E480" s="2" t="s">
        <v>32</v>
      </c>
      <c r="F480" s="3">
        <v>44275</v>
      </c>
      <c r="G480" s="2" t="s">
        <v>28</v>
      </c>
      <c r="H480" s="4">
        <v>44275</v>
      </c>
      <c r="I480" s="5">
        <f t="shared" si="7"/>
        <v>2021</v>
      </c>
      <c r="J480" s="2" t="s">
        <v>37</v>
      </c>
      <c r="K480" s="2">
        <v>479</v>
      </c>
      <c r="L480" s="2">
        <v>22689</v>
      </c>
    </row>
    <row r="481" spans="1:12" x14ac:dyDescent="0.35">
      <c r="A481" s="2">
        <v>500</v>
      </c>
      <c r="B481" s="2">
        <v>56</v>
      </c>
      <c r="C481" s="2" t="s">
        <v>46</v>
      </c>
      <c r="D481" s="2" t="s">
        <v>119</v>
      </c>
      <c r="E481" s="2" t="s">
        <v>75</v>
      </c>
      <c r="F481" s="3">
        <v>44278</v>
      </c>
      <c r="G481" s="2" t="s">
        <v>28</v>
      </c>
      <c r="H481" s="4">
        <v>44278</v>
      </c>
      <c r="I481" s="5">
        <f t="shared" si="7"/>
        <v>2021</v>
      </c>
      <c r="J481" s="2" t="s">
        <v>14</v>
      </c>
      <c r="K481" s="2">
        <v>480</v>
      </c>
      <c r="L481" s="2">
        <v>22745</v>
      </c>
    </row>
    <row r="482" spans="1:12" x14ac:dyDescent="0.35">
      <c r="A482" s="2">
        <v>501</v>
      </c>
      <c r="B482" s="2">
        <v>66</v>
      </c>
      <c r="C482" s="2" t="s">
        <v>46</v>
      </c>
      <c r="D482" s="2" t="s">
        <v>119</v>
      </c>
      <c r="E482" s="2" t="s">
        <v>75</v>
      </c>
      <c r="F482" s="3">
        <v>44281</v>
      </c>
      <c r="G482" s="2" t="s">
        <v>28</v>
      </c>
      <c r="H482" s="4">
        <v>44281</v>
      </c>
      <c r="I482" s="5">
        <f t="shared" si="7"/>
        <v>2021</v>
      </c>
      <c r="J482" s="2" t="s">
        <v>14</v>
      </c>
      <c r="K482" s="2">
        <v>481</v>
      </c>
      <c r="L482" s="2">
        <v>22811</v>
      </c>
    </row>
    <row r="483" spans="1:12" x14ac:dyDescent="0.35">
      <c r="A483" s="2">
        <v>502</v>
      </c>
      <c r="B483" s="2">
        <v>7</v>
      </c>
      <c r="C483" s="2" t="s">
        <v>46</v>
      </c>
      <c r="D483" s="2" t="s">
        <v>119</v>
      </c>
      <c r="E483" s="2" t="s">
        <v>75</v>
      </c>
      <c r="F483" s="3">
        <v>44283</v>
      </c>
      <c r="G483" s="2" t="s">
        <v>28</v>
      </c>
      <c r="H483" s="4">
        <v>44283</v>
      </c>
      <c r="I483" s="5">
        <f t="shared" si="7"/>
        <v>2021</v>
      </c>
      <c r="J483" s="2" t="s">
        <v>14</v>
      </c>
      <c r="K483" s="2">
        <v>482</v>
      </c>
      <c r="L483" s="2">
        <v>22818</v>
      </c>
    </row>
    <row r="484" spans="1:12" x14ac:dyDescent="0.35">
      <c r="A484" s="2">
        <v>503</v>
      </c>
      <c r="B484" s="2">
        <v>44</v>
      </c>
      <c r="C484" s="2" t="s">
        <v>38</v>
      </c>
      <c r="D484" s="2" t="s">
        <v>118</v>
      </c>
      <c r="E484" s="2" t="s">
        <v>59</v>
      </c>
      <c r="F484" s="3">
        <v>44365</v>
      </c>
      <c r="G484" s="2" t="s">
        <v>35</v>
      </c>
      <c r="H484" s="4">
        <v>44365</v>
      </c>
      <c r="I484" s="5">
        <f t="shared" si="7"/>
        <v>2021</v>
      </c>
      <c r="J484" s="2" t="s">
        <v>54</v>
      </c>
      <c r="K484" s="2">
        <v>483</v>
      </c>
      <c r="L484" s="2">
        <v>22862</v>
      </c>
    </row>
    <row r="485" spans="1:12" x14ac:dyDescent="0.35">
      <c r="A485" s="2">
        <v>504</v>
      </c>
      <c r="B485" s="2">
        <v>13</v>
      </c>
      <c r="C485" s="2" t="s">
        <v>38</v>
      </c>
      <c r="D485" s="2" t="s">
        <v>118</v>
      </c>
      <c r="E485" s="2" t="s">
        <v>59</v>
      </c>
      <c r="F485" s="3">
        <v>44365</v>
      </c>
      <c r="G485" s="2" t="s">
        <v>35</v>
      </c>
      <c r="H485" s="4">
        <v>44365</v>
      </c>
      <c r="I485" s="5">
        <f t="shared" si="7"/>
        <v>2021</v>
      </c>
      <c r="J485" s="2" t="s">
        <v>54</v>
      </c>
      <c r="K485" s="2">
        <v>484</v>
      </c>
      <c r="L485" s="2">
        <v>22875</v>
      </c>
    </row>
    <row r="486" spans="1:12" x14ac:dyDescent="0.35">
      <c r="A486" s="2">
        <v>505</v>
      </c>
      <c r="B486" s="2">
        <v>0</v>
      </c>
      <c r="C486" s="2" t="s">
        <v>46</v>
      </c>
      <c r="D486" s="2" t="s">
        <v>119</v>
      </c>
      <c r="E486" s="2" t="s">
        <v>86</v>
      </c>
      <c r="F486" s="3">
        <v>44412</v>
      </c>
      <c r="G486" s="2" t="s">
        <v>13</v>
      </c>
      <c r="H486" s="4">
        <v>44412</v>
      </c>
      <c r="I486" s="5">
        <f t="shared" si="7"/>
        <v>2021</v>
      </c>
      <c r="J486" s="2" t="s">
        <v>54</v>
      </c>
      <c r="K486" s="2">
        <v>485</v>
      </c>
      <c r="L486" s="2">
        <v>22875</v>
      </c>
    </row>
    <row r="487" spans="1:12" x14ac:dyDescent="0.35">
      <c r="A487" s="2">
        <v>507</v>
      </c>
      <c r="B487" s="2">
        <v>42</v>
      </c>
      <c r="C487" s="2" t="s">
        <v>46</v>
      </c>
      <c r="D487" s="2" t="s">
        <v>119</v>
      </c>
      <c r="E487" s="2" t="s">
        <v>61</v>
      </c>
      <c r="F487" s="3">
        <v>44420</v>
      </c>
      <c r="G487" s="2" t="s">
        <v>13</v>
      </c>
      <c r="H487" s="4">
        <v>44420</v>
      </c>
      <c r="I487" s="5">
        <f t="shared" si="7"/>
        <v>2021</v>
      </c>
      <c r="J487" s="2" t="s">
        <v>54</v>
      </c>
      <c r="K487" s="2">
        <v>486</v>
      </c>
      <c r="L487" s="2">
        <v>22917</v>
      </c>
    </row>
    <row r="488" spans="1:12" x14ac:dyDescent="0.35">
      <c r="A488" s="2">
        <v>508</v>
      </c>
      <c r="B488" s="2">
        <v>20</v>
      </c>
      <c r="C488" s="2" t="s">
        <v>46</v>
      </c>
      <c r="D488" s="2" t="s">
        <v>119</v>
      </c>
      <c r="E488" s="2" t="s">
        <v>61</v>
      </c>
      <c r="F488" s="3">
        <v>44420</v>
      </c>
      <c r="G488" s="2" t="s">
        <v>13</v>
      </c>
      <c r="H488" s="4">
        <v>44420</v>
      </c>
      <c r="I488" s="5">
        <f t="shared" si="7"/>
        <v>2021</v>
      </c>
      <c r="J488" s="2" t="s">
        <v>54</v>
      </c>
      <c r="K488" s="2">
        <v>487</v>
      </c>
      <c r="L488" s="2">
        <v>22937</v>
      </c>
    </row>
    <row r="489" spans="1:12" x14ac:dyDescent="0.35">
      <c r="A489" s="2">
        <v>509</v>
      </c>
      <c r="B489" s="2">
        <v>7</v>
      </c>
      <c r="C489" s="2" t="s">
        <v>46</v>
      </c>
      <c r="D489" s="2" t="s">
        <v>119</v>
      </c>
      <c r="E489" s="2" t="s">
        <v>87</v>
      </c>
      <c r="F489" s="3">
        <v>44433</v>
      </c>
      <c r="G489" s="2" t="s">
        <v>13</v>
      </c>
      <c r="H489" s="4">
        <v>44433</v>
      </c>
      <c r="I489" s="5">
        <f t="shared" si="7"/>
        <v>2021</v>
      </c>
      <c r="J489" s="2" t="s">
        <v>54</v>
      </c>
      <c r="K489" s="2">
        <v>488</v>
      </c>
      <c r="L489" s="2">
        <v>22944</v>
      </c>
    </row>
    <row r="490" spans="1:12" x14ac:dyDescent="0.35">
      <c r="A490" s="2">
        <v>510</v>
      </c>
      <c r="B490" s="2">
        <v>55</v>
      </c>
      <c r="C490" s="2" t="s">
        <v>46</v>
      </c>
      <c r="D490" s="2" t="s">
        <v>119</v>
      </c>
      <c r="E490" s="2" t="s">
        <v>87</v>
      </c>
      <c r="F490" s="3">
        <v>44433</v>
      </c>
      <c r="G490" s="2" t="s">
        <v>13</v>
      </c>
      <c r="H490" s="4">
        <v>44433</v>
      </c>
      <c r="I490" s="5">
        <f t="shared" si="7"/>
        <v>2021</v>
      </c>
      <c r="J490" s="2" t="s">
        <v>54</v>
      </c>
      <c r="K490" s="2">
        <v>489</v>
      </c>
      <c r="L490" s="2">
        <v>22999</v>
      </c>
    </row>
    <row r="491" spans="1:12" x14ac:dyDescent="0.35">
      <c r="A491" s="2">
        <v>511</v>
      </c>
      <c r="B491" s="2">
        <v>50</v>
      </c>
      <c r="C491" s="2" t="s">
        <v>46</v>
      </c>
      <c r="D491" s="2" t="s">
        <v>119</v>
      </c>
      <c r="E491" s="2" t="s">
        <v>60</v>
      </c>
      <c r="F491" s="3">
        <v>44441</v>
      </c>
      <c r="G491" s="2" t="s">
        <v>13</v>
      </c>
      <c r="H491" s="4">
        <v>44441</v>
      </c>
      <c r="I491" s="5">
        <f t="shared" si="7"/>
        <v>2021</v>
      </c>
      <c r="J491" s="2" t="s">
        <v>54</v>
      </c>
      <c r="K491" s="2">
        <v>490</v>
      </c>
      <c r="L491" s="2">
        <v>23049</v>
      </c>
    </row>
    <row r="492" spans="1:12" x14ac:dyDescent="0.35">
      <c r="A492" s="2">
        <v>512</v>
      </c>
      <c r="B492" s="2">
        <v>44</v>
      </c>
      <c r="C492" s="2" t="s">
        <v>46</v>
      </c>
      <c r="D492" s="2" t="s">
        <v>119</v>
      </c>
      <c r="E492" s="2" t="s">
        <v>60</v>
      </c>
      <c r="F492" s="3">
        <v>44441</v>
      </c>
      <c r="G492" s="2" t="s">
        <v>13</v>
      </c>
      <c r="H492" s="4">
        <v>44441</v>
      </c>
      <c r="I492" s="5">
        <f t="shared" si="7"/>
        <v>2021</v>
      </c>
      <c r="J492" s="2" t="s">
        <v>54</v>
      </c>
      <c r="K492" s="2">
        <v>491</v>
      </c>
      <c r="L492" s="2">
        <v>23093</v>
      </c>
    </row>
    <row r="493" spans="1:12" x14ac:dyDescent="0.35">
      <c r="A493" s="2">
        <v>513</v>
      </c>
      <c r="B493" s="2">
        <v>57</v>
      </c>
      <c r="C493" s="2" t="s">
        <v>16</v>
      </c>
      <c r="D493" s="2" t="s">
        <v>112</v>
      </c>
      <c r="E493" s="2" t="s">
        <v>102</v>
      </c>
      <c r="F493" s="3">
        <v>44493</v>
      </c>
      <c r="G493" s="2" t="s">
        <v>22</v>
      </c>
      <c r="H493" s="4">
        <v>44493</v>
      </c>
      <c r="I493" s="5">
        <f t="shared" si="7"/>
        <v>2021</v>
      </c>
      <c r="J493" s="2" t="s">
        <v>37</v>
      </c>
      <c r="K493" s="2">
        <v>492</v>
      </c>
      <c r="L493" s="2">
        <v>23150</v>
      </c>
    </row>
    <row r="494" spans="1:12" x14ac:dyDescent="0.35">
      <c r="A494" s="2">
        <v>514</v>
      </c>
      <c r="B494" s="2">
        <v>9</v>
      </c>
      <c r="C494" s="2" t="s">
        <v>38</v>
      </c>
      <c r="D494" s="2" t="s">
        <v>118</v>
      </c>
      <c r="E494" s="2" t="s">
        <v>102</v>
      </c>
      <c r="F494" s="3">
        <v>44500</v>
      </c>
      <c r="G494" s="2" t="s">
        <v>22</v>
      </c>
      <c r="H494" s="4">
        <v>44500</v>
      </c>
      <c r="I494" s="5">
        <f t="shared" si="7"/>
        <v>2021</v>
      </c>
      <c r="J494" s="2" t="s">
        <v>37</v>
      </c>
      <c r="K494" s="2">
        <v>493</v>
      </c>
      <c r="L494" s="2">
        <v>23159</v>
      </c>
    </row>
    <row r="495" spans="1:12" x14ac:dyDescent="0.35">
      <c r="A495" s="2">
        <v>516</v>
      </c>
      <c r="B495" s="2">
        <v>2</v>
      </c>
      <c r="C495" s="2" t="s">
        <v>103</v>
      </c>
      <c r="D495" s="2" t="s">
        <v>124</v>
      </c>
      <c r="E495" s="2" t="s">
        <v>102</v>
      </c>
      <c r="F495" s="3">
        <v>44505</v>
      </c>
      <c r="G495" s="2" t="s">
        <v>22</v>
      </c>
      <c r="H495" s="4">
        <v>44505</v>
      </c>
      <c r="I495" s="5">
        <f t="shared" si="7"/>
        <v>2021</v>
      </c>
      <c r="J495" s="2" t="s">
        <v>37</v>
      </c>
      <c r="K495" s="2">
        <v>494</v>
      </c>
      <c r="L495" s="2">
        <v>23161</v>
      </c>
    </row>
    <row r="496" spans="1:12" x14ac:dyDescent="0.35">
      <c r="A496" s="2">
        <v>518</v>
      </c>
      <c r="B496" s="2">
        <v>0</v>
      </c>
      <c r="C496" s="2" t="s">
        <v>38</v>
      </c>
      <c r="D496" s="2" t="s">
        <v>118</v>
      </c>
      <c r="E496" s="2" t="s">
        <v>50</v>
      </c>
      <c r="F496" s="3">
        <v>44533</v>
      </c>
      <c r="G496" s="2" t="s">
        <v>22</v>
      </c>
      <c r="H496" s="4">
        <v>44533</v>
      </c>
      <c r="I496" s="5">
        <f t="shared" si="7"/>
        <v>2021</v>
      </c>
      <c r="J496" s="2" t="s">
        <v>54</v>
      </c>
      <c r="K496" s="2">
        <v>495</v>
      </c>
      <c r="L496" s="2">
        <v>23161</v>
      </c>
    </row>
    <row r="497" spans="1:12" x14ac:dyDescent="0.35">
      <c r="A497" s="2">
        <v>519</v>
      </c>
      <c r="B497" s="2">
        <v>36</v>
      </c>
      <c r="C497" s="2" t="s">
        <v>38</v>
      </c>
      <c r="D497" s="2" t="s">
        <v>118</v>
      </c>
      <c r="E497" s="2" t="s">
        <v>50</v>
      </c>
      <c r="F497" s="3">
        <v>44533</v>
      </c>
      <c r="G497" s="2" t="s">
        <v>22</v>
      </c>
      <c r="H497" s="4">
        <v>44533</v>
      </c>
      <c r="I497" s="5">
        <f t="shared" si="7"/>
        <v>2021</v>
      </c>
      <c r="J497" s="2" t="s">
        <v>54</v>
      </c>
      <c r="K497" s="2">
        <v>496</v>
      </c>
      <c r="L497" s="2">
        <v>23197</v>
      </c>
    </row>
    <row r="498" spans="1:12" x14ac:dyDescent="0.35">
      <c r="A498" s="2">
        <v>520</v>
      </c>
      <c r="B498" s="2">
        <v>35</v>
      </c>
      <c r="C498" s="2" t="s">
        <v>30</v>
      </c>
      <c r="D498" s="2" t="s">
        <v>116</v>
      </c>
      <c r="E498" s="2" t="s">
        <v>17</v>
      </c>
      <c r="F498" s="3">
        <v>44556</v>
      </c>
      <c r="G498" s="2" t="s">
        <v>22</v>
      </c>
      <c r="H498" s="4">
        <v>44556</v>
      </c>
      <c r="I498" s="5">
        <f t="shared" si="7"/>
        <v>2021</v>
      </c>
      <c r="J498" s="2" t="s">
        <v>54</v>
      </c>
      <c r="K498" s="2">
        <v>497</v>
      </c>
      <c r="L498" s="2">
        <v>23232</v>
      </c>
    </row>
    <row r="499" spans="1:12" x14ac:dyDescent="0.35">
      <c r="A499" s="2">
        <v>521</v>
      </c>
      <c r="B499" s="2">
        <v>18</v>
      </c>
      <c r="C499" s="2" t="s">
        <v>30</v>
      </c>
      <c r="D499" s="2" t="s">
        <v>116</v>
      </c>
      <c r="E499" s="2" t="s">
        <v>17</v>
      </c>
      <c r="F499" s="3">
        <v>44556</v>
      </c>
      <c r="G499" s="2" t="s">
        <v>22</v>
      </c>
      <c r="H499" s="4">
        <v>44556</v>
      </c>
      <c r="I499" s="5">
        <f t="shared" si="7"/>
        <v>2021</v>
      </c>
      <c r="J499" s="2" t="s">
        <v>54</v>
      </c>
      <c r="K499" s="2">
        <v>498</v>
      </c>
      <c r="L499" s="2">
        <v>23250</v>
      </c>
    </row>
    <row r="500" spans="1:12" x14ac:dyDescent="0.35">
      <c r="A500" s="2">
        <v>522</v>
      </c>
      <c r="B500" s="2">
        <v>79</v>
      </c>
      <c r="C500" s="2" t="s">
        <v>30</v>
      </c>
      <c r="D500" s="2" t="s">
        <v>116</v>
      </c>
      <c r="E500" s="2" t="s">
        <v>44</v>
      </c>
      <c r="F500" s="3">
        <v>44572</v>
      </c>
      <c r="G500" s="2" t="s">
        <v>28</v>
      </c>
      <c r="H500" s="4">
        <v>44572</v>
      </c>
      <c r="I500" s="5">
        <f t="shared" si="7"/>
        <v>2022</v>
      </c>
      <c r="J500" s="2" t="s">
        <v>54</v>
      </c>
      <c r="K500" s="2">
        <v>499</v>
      </c>
      <c r="L500" s="2">
        <v>23329</v>
      </c>
    </row>
    <row r="501" spans="1:12" x14ac:dyDescent="0.35">
      <c r="A501" s="2">
        <v>523</v>
      </c>
      <c r="B501" s="2">
        <v>29</v>
      </c>
      <c r="C501" s="2" t="s">
        <v>30</v>
      </c>
      <c r="D501" s="2" t="s">
        <v>116</v>
      </c>
      <c r="E501" s="2" t="s">
        <v>44</v>
      </c>
      <c r="F501" s="3">
        <v>44572</v>
      </c>
      <c r="G501" s="2" t="s">
        <v>28</v>
      </c>
      <c r="H501" s="4">
        <v>44572</v>
      </c>
      <c r="I501" s="5">
        <f t="shared" si="7"/>
        <v>2022</v>
      </c>
      <c r="J501" s="2" t="s">
        <v>54</v>
      </c>
      <c r="K501" s="2">
        <v>500</v>
      </c>
      <c r="L501" s="2">
        <v>23358</v>
      </c>
    </row>
    <row r="502" spans="1:12" x14ac:dyDescent="0.35">
      <c r="A502" s="2">
        <v>524</v>
      </c>
      <c r="B502" s="2">
        <v>51</v>
      </c>
      <c r="C502" s="2" t="s">
        <v>30</v>
      </c>
      <c r="D502" s="2" t="s">
        <v>116</v>
      </c>
      <c r="E502" s="2" t="s">
        <v>104</v>
      </c>
      <c r="F502" s="3">
        <v>44580</v>
      </c>
      <c r="G502" s="2" t="s">
        <v>28</v>
      </c>
      <c r="H502" s="4">
        <v>44580</v>
      </c>
      <c r="I502" s="5">
        <f t="shared" si="7"/>
        <v>2022</v>
      </c>
      <c r="J502" s="2" t="s">
        <v>14</v>
      </c>
      <c r="K502" s="2">
        <v>501</v>
      </c>
      <c r="L502" s="2">
        <v>23409</v>
      </c>
    </row>
    <row r="503" spans="1:12" x14ac:dyDescent="0.35">
      <c r="A503" s="2">
        <v>525</v>
      </c>
      <c r="B503" s="2">
        <v>0</v>
      </c>
      <c r="C503" s="2" t="s">
        <v>30</v>
      </c>
      <c r="D503" s="2" t="s">
        <v>116</v>
      </c>
      <c r="E503" s="2" t="s">
        <v>104</v>
      </c>
      <c r="F503" s="3">
        <v>44582</v>
      </c>
      <c r="G503" s="2" t="s">
        <v>28</v>
      </c>
      <c r="H503" s="4">
        <v>44582</v>
      </c>
      <c r="I503" s="5">
        <f t="shared" si="7"/>
        <v>2022</v>
      </c>
      <c r="J503" s="2" t="s">
        <v>14</v>
      </c>
      <c r="K503" s="2">
        <v>502</v>
      </c>
      <c r="L503" s="2">
        <v>23409</v>
      </c>
    </row>
    <row r="504" spans="1:12" x14ac:dyDescent="0.35">
      <c r="A504" s="2">
        <v>526</v>
      </c>
      <c r="B504" s="2">
        <v>65</v>
      </c>
      <c r="C504" s="2" t="s">
        <v>30</v>
      </c>
      <c r="D504" s="2" t="s">
        <v>116</v>
      </c>
      <c r="E504" s="2" t="s">
        <v>44</v>
      </c>
      <c r="F504" s="3">
        <v>44584</v>
      </c>
      <c r="G504" s="2" t="s">
        <v>28</v>
      </c>
      <c r="H504" s="4">
        <v>44584</v>
      </c>
      <c r="I504" s="5">
        <f t="shared" si="7"/>
        <v>2022</v>
      </c>
      <c r="J504" s="2" t="s">
        <v>14</v>
      </c>
      <c r="K504" s="2">
        <v>503</v>
      </c>
      <c r="L504" s="2">
        <v>23474</v>
      </c>
    </row>
    <row r="505" spans="1:12" x14ac:dyDescent="0.35">
      <c r="A505" s="2">
        <v>527</v>
      </c>
      <c r="B505" s="2">
        <v>8</v>
      </c>
      <c r="C505" s="2" t="s">
        <v>18</v>
      </c>
      <c r="D505" s="2" t="s">
        <v>113</v>
      </c>
      <c r="E505" s="2" t="s">
        <v>32</v>
      </c>
      <c r="F505" s="3">
        <v>44598</v>
      </c>
      <c r="G505" s="2" t="s">
        <v>28</v>
      </c>
      <c r="H505" s="4">
        <v>44598</v>
      </c>
      <c r="I505" s="5">
        <f t="shared" si="7"/>
        <v>2022</v>
      </c>
      <c r="J505" s="2" t="s">
        <v>14</v>
      </c>
      <c r="K505" s="2">
        <v>504</v>
      </c>
      <c r="L505" s="2">
        <v>23482</v>
      </c>
    </row>
    <row r="506" spans="1:12" x14ac:dyDescent="0.35">
      <c r="A506" s="2">
        <v>528</v>
      </c>
      <c r="B506" s="2">
        <v>18</v>
      </c>
      <c r="C506" s="2" t="s">
        <v>18</v>
      </c>
      <c r="D506" s="2" t="s">
        <v>113</v>
      </c>
      <c r="E506" s="2" t="s">
        <v>32</v>
      </c>
      <c r="F506" s="3">
        <v>44601</v>
      </c>
      <c r="G506" s="2" t="s">
        <v>28</v>
      </c>
      <c r="H506" s="4">
        <v>44601</v>
      </c>
      <c r="I506" s="5">
        <f t="shared" si="7"/>
        <v>2022</v>
      </c>
      <c r="J506" s="2" t="s">
        <v>14</v>
      </c>
      <c r="K506" s="2">
        <v>505</v>
      </c>
      <c r="L506" s="2">
        <v>23500</v>
      </c>
    </row>
    <row r="507" spans="1:12" x14ac:dyDescent="0.35">
      <c r="A507" s="2">
        <v>529</v>
      </c>
      <c r="B507" s="2">
        <v>0</v>
      </c>
      <c r="C507" s="2" t="s">
        <v>18</v>
      </c>
      <c r="D507" s="2" t="s">
        <v>113</v>
      </c>
      <c r="E507" s="2" t="s">
        <v>32</v>
      </c>
      <c r="F507" s="3">
        <v>44603</v>
      </c>
      <c r="G507" s="2" t="s">
        <v>28</v>
      </c>
      <c r="H507" s="4">
        <v>44603</v>
      </c>
      <c r="I507" s="5">
        <f t="shared" si="7"/>
        <v>2022</v>
      </c>
      <c r="J507" s="2" t="s">
        <v>14</v>
      </c>
      <c r="K507" s="2">
        <v>506</v>
      </c>
      <c r="L507" s="2">
        <v>23500</v>
      </c>
    </row>
    <row r="508" spans="1:12" x14ac:dyDescent="0.35">
      <c r="A508" s="2">
        <v>530</v>
      </c>
      <c r="B508" s="2">
        <v>17</v>
      </c>
      <c r="C508" s="2" t="s">
        <v>18</v>
      </c>
      <c r="D508" s="2" t="s">
        <v>113</v>
      </c>
      <c r="E508" s="2" t="s">
        <v>26</v>
      </c>
      <c r="F508" s="3">
        <v>44608</v>
      </c>
      <c r="G508" s="2" t="s">
        <v>28</v>
      </c>
      <c r="H508" s="4">
        <v>44608</v>
      </c>
      <c r="I508" s="5">
        <f t="shared" si="7"/>
        <v>2022</v>
      </c>
      <c r="J508" s="2" t="s">
        <v>37</v>
      </c>
      <c r="K508" s="2">
        <v>507</v>
      </c>
      <c r="L508" s="2">
        <v>23517</v>
      </c>
    </row>
    <row r="509" spans="1:12" x14ac:dyDescent="0.35">
      <c r="A509" s="2">
        <v>531</v>
      </c>
      <c r="B509" s="2">
        <v>52</v>
      </c>
      <c r="C509" s="2" t="s">
        <v>18</v>
      </c>
      <c r="D509" s="2" t="s">
        <v>113</v>
      </c>
      <c r="E509" s="2" t="s">
        <v>26</v>
      </c>
      <c r="F509" s="3">
        <v>44610</v>
      </c>
      <c r="G509" s="2" t="s">
        <v>28</v>
      </c>
      <c r="H509" s="4">
        <v>44610</v>
      </c>
      <c r="I509" s="5">
        <f t="shared" si="7"/>
        <v>2022</v>
      </c>
      <c r="J509" s="2" t="s">
        <v>37</v>
      </c>
      <c r="K509" s="2">
        <v>508</v>
      </c>
      <c r="L509" s="2">
        <v>23569</v>
      </c>
    </row>
    <row r="510" spans="1:12" x14ac:dyDescent="0.35">
      <c r="A510" s="2">
        <v>532</v>
      </c>
      <c r="B510" s="2">
        <v>45</v>
      </c>
      <c r="C510" s="2" t="s">
        <v>11</v>
      </c>
      <c r="D510" s="2" t="s">
        <v>111</v>
      </c>
      <c r="E510" s="2" t="s">
        <v>23</v>
      </c>
      <c r="F510" s="3">
        <v>44624</v>
      </c>
      <c r="G510" s="2" t="s">
        <v>28</v>
      </c>
      <c r="H510" s="4">
        <v>44624</v>
      </c>
      <c r="I510" s="5">
        <f t="shared" si="7"/>
        <v>2022</v>
      </c>
      <c r="J510" s="2" t="s">
        <v>54</v>
      </c>
      <c r="K510" s="2">
        <v>509</v>
      </c>
      <c r="L510" s="2">
        <v>23614</v>
      </c>
    </row>
    <row r="511" spans="1:12" x14ac:dyDescent="0.35">
      <c r="A511" s="2">
        <v>533</v>
      </c>
      <c r="B511" s="2">
        <v>23</v>
      </c>
      <c r="C511" s="2" t="s">
        <v>11</v>
      </c>
      <c r="D511" s="2" t="s">
        <v>111</v>
      </c>
      <c r="E511" s="2" t="s">
        <v>41</v>
      </c>
      <c r="F511" s="3">
        <v>44632</v>
      </c>
      <c r="G511" s="2" t="s">
        <v>28</v>
      </c>
      <c r="H511" s="4">
        <v>44632</v>
      </c>
      <c r="I511" s="5">
        <f t="shared" si="7"/>
        <v>2022</v>
      </c>
      <c r="J511" s="2" t="s">
        <v>54</v>
      </c>
      <c r="K511" s="2">
        <v>510</v>
      </c>
      <c r="L511" s="2">
        <v>23637</v>
      </c>
    </row>
    <row r="512" spans="1:12" x14ac:dyDescent="0.35">
      <c r="A512" s="2">
        <v>534</v>
      </c>
      <c r="B512" s="2">
        <v>13</v>
      </c>
      <c r="C512" s="2" t="s">
        <v>11</v>
      </c>
      <c r="D512" s="2" t="s">
        <v>111</v>
      </c>
      <c r="E512" s="2" t="s">
        <v>41</v>
      </c>
      <c r="F512" s="3">
        <v>44632</v>
      </c>
      <c r="G512" s="2" t="s">
        <v>28</v>
      </c>
      <c r="H512" s="4">
        <v>44632</v>
      </c>
      <c r="I512" s="5">
        <f t="shared" si="7"/>
        <v>2022</v>
      </c>
      <c r="J512" s="2" t="s">
        <v>54</v>
      </c>
      <c r="K512" s="2">
        <v>511</v>
      </c>
      <c r="L512" s="2">
        <v>23650</v>
      </c>
    </row>
    <row r="513" spans="1:12" x14ac:dyDescent="0.35">
      <c r="A513" s="2">
        <v>535</v>
      </c>
      <c r="B513" s="2">
        <v>11</v>
      </c>
      <c r="C513" s="2" t="s">
        <v>46</v>
      </c>
      <c r="D513" s="2" t="s">
        <v>119</v>
      </c>
      <c r="E513" s="2" t="s">
        <v>79</v>
      </c>
      <c r="F513" s="3">
        <v>44743</v>
      </c>
      <c r="G513" s="2" t="s">
        <v>13</v>
      </c>
      <c r="H513" s="4">
        <v>44743</v>
      </c>
      <c r="I513" s="5">
        <f t="shared" si="7"/>
        <v>2022</v>
      </c>
      <c r="J513" s="2" t="s">
        <v>54</v>
      </c>
      <c r="K513" s="2">
        <v>512</v>
      </c>
      <c r="L513" s="2">
        <v>23661</v>
      </c>
    </row>
    <row r="514" spans="1:12" x14ac:dyDescent="0.35">
      <c r="A514" s="2">
        <v>536</v>
      </c>
      <c r="B514" s="2">
        <v>20</v>
      </c>
      <c r="C514" s="2" t="s">
        <v>46</v>
      </c>
      <c r="D514" s="2" t="s">
        <v>119</v>
      </c>
      <c r="E514" s="2" t="s">
        <v>79</v>
      </c>
      <c r="F514" s="3">
        <v>44743</v>
      </c>
      <c r="G514" s="2" t="s">
        <v>13</v>
      </c>
      <c r="H514" s="4">
        <v>44743</v>
      </c>
      <c r="I514" s="5">
        <f t="shared" si="7"/>
        <v>2022</v>
      </c>
      <c r="J514" s="2" t="s">
        <v>54</v>
      </c>
      <c r="K514" s="2">
        <v>513</v>
      </c>
      <c r="L514" s="2">
        <v>23681</v>
      </c>
    </row>
    <row r="515" spans="1:12" x14ac:dyDescent="0.35">
      <c r="A515" s="2">
        <v>537</v>
      </c>
      <c r="B515" s="2">
        <v>1</v>
      </c>
      <c r="C515" s="2" t="s">
        <v>46</v>
      </c>
      <c r="D515" s="2" t="s">
        <v>119</v>
      </c>
      <c r="E515" s="2" t="s">
        <v>79</v>
      </c>
      <c r="F515" s="3">
        <v>44751</v>
      </c>
      <c r="G515" s="2" t="s">
        <v>13</v>
      </c>
      <c r="H515" s="4">
        <v>44751</v>
      </c>
      <c r="I515" s="5">
        <f t="shared" ref="I515:I517" si="8">YEAR(F515)</f>
        <v>2022</v>
      </c>
      <c r="J515" s="2" t="s">
        <v>37</v>
      </c>
      <c r="K515" s="2">
        <v>514</v>
      </c>
      <c r="L515" s="2">
        <v>23682</v>
      </c>
    </row>
    <row r="516" spans="1:12" x14ac:dyDescent="0.35">
      <c r="A516" s="2">
        <v>538</v>
      </c>
      <c r="B516" s="2">
        <v>11</v>
      </c>
      <c r="C516" s="2" t="s">
        <v>46</v>
      </c>
      <c r="D516" s="2" t="s">
        <v>119</v>
      </c>
      <c r="E516" s="2" t="s">
        <v>86</v>
      </c>
      <c r="F516" s="3">
        <v>44752</v>
      </c>
      <c r="G516" s="2" t="s">
        <v>13</v>
      </c>
      <c r="H516" s="4">
        <v>44752</v>
      </c>
      <c r="I516" s="5">
        <f t="shared" si="8"/>
        <v>2022</v>
      </c>
      <c r="J516" s="2" t="s">
        <v>37</v>
      </c>
      <c r="K516" s="2">
        <v>515</v>
      </c>
      <c r="L516" s="2">
        <v>23693</v>
      </c>
    </row>
    <row r="517" spans="1:12" x14ac:dyDescent="0.35">
      <c r="A517" s="2">
        <v>539</v>
      </c>
      <c r="B517" s="2">
        <v>16</v>
      </c>
      <c r="C517" s="2" t="s">
        <v>46</v>
      </c>
      <c r="D517" s="2" t="s">
        <v>119</v>
      </c>
      <c r="E517" s="2" t="s">
        <v>61</v>
      </c>
      <c r="F517" s="3">
        <v>44756</v>
      </c>
      <c r="G517" s="2" t="s">
        <v>13</v>
      </c>
      <c r="H517" s="4">
        <v>44756</v>
      </c>
      <c r="I517" s="5">
        <f t="shared" si="8"/>
        <v>2022</v>
      </c>
      <c r="J517" s="2" t="s">
        <v>14</v>
      </c>
      <c r="K517" s="2">
        <v>516</v>
      </c>
      <c r="L517" s="2">
        <v>23709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topLeftCell="A6" workbookViewId="0">
      <selection activeCell="M16" sqref="M16"/>
    </sheetView>
  </sheetViews>
  <sheetFormatPr defaultRowHeight="14.5" x14ac:dyDescent="0.35"/>
  <cols>
    <col min="1" max="1" width="12.36328125" customWidth="1"/>
    <col min="2" max="2" width="10.81640625" bestFit="1" customWidth="1"/>
  </cols>
  <sheetData>
    <row r="2" spans="1:2" x14ac:dyDescent="0.35">
      <c r="A2" t="s">
        <v>106</v>
      </c>
    </row>
    <row r="3" spans="1:2" x14ac:dyDescent="0.35">
      <c r="A3" t="s">
        <v>105</v>
      </c>
    </row>
    <row r="4" spans="1:2" x14ac:dyDescent="0.35">
      <c r="A4" s="6">
        <v>23709</v>
      </c>
      <c r="B4">
        <f>A4</f>
        <v>23709</v>
      </c>
    </row>
    <row r="7" spans="1:2" x14ac:dyDescent="0.35">
      <c r="A7" t="s">
        <v>107</v>
      </c>
    </row>
    <row r="8" spans="1:2" x14ac:dyDescent="0.35">
      <c r="A8" s="6">
        <v>133386</v>
      </c>
      <c r="B8">
        <f>A8</f>
        <v>133386</v>
      </c>
    </row>
    <row r="11" spans="1:2" x14ac:dyDescent="0.35">
      <c r="A11" s="8" t="s">
        <v>108</v>
      </c>
      <c r="B11" t="s">
        <v>105</v>
      </c>
    </row>
    <row r="12" spans="1:2" x14ac:dyDescent="0.35">
      <c r="A12" s="9" t="s">
        <v>114</v>
      </c>
      <c r="B12" s="6">
        <v>4483</v>
      </c>
    </row>
    <row r="13" spans="1:2" x14ac:dyDescent="0.35">
      <c r="A13" s="9" t="s">
        <v>119</v>
      </c>
      <c r="B13" s="6">
        <v>3903</v>
      </c>
    </row>
    <row r="14" spans="1:2" x14ac:dyDescent="0.35">
      <c r="A14" s="9" t="s">
        <v>113</v>
      </c>
      <c r="B14" s="6">
        <v>3653</v>
      </c>
    </row>
    <row r="15" spans="1:2" x14ac:dyDescent="0.35">
      <c r="A15" s="9" t="s">
        <v>111</v>
      </c>
      <c r="B15" s="6">
        <v>3644</v>
      </c>
    </row>
    <row r="16" spans="1:2" x14ac:dyDescent="0.35">
      <c r="A16" s="9" t="s">
        <v>116</v>
      </c>
      <c r="B16" s="6">
        <v>2893</v>
      </c>
    </row>
    <row r="17" spans="1:2" x14ac:dyDescent="0.35">
      <c r="A17" s="9" t="s">
        <v>118</v>
      </c>
      <c r="B17" s="6">
        <v>2555</v>
      </c>
    </row>
    <row r="18" spans="1:2" x14ac:dyDescent="0.35">
      <c r="A18" s="9" t="s">
        <v>115</v>
      </c>
      <c r="B18" s="6">
        <v>1201</v>
      </c>
    </row>
    <row r="19" spans="1:2" x14ac:dyDescent="0.35">
      <c r="A19" s="9" t="s">
        <v>112</v>
      </c>
      <c r="B19" s="6">
        <v>847</v>
      </c>
    </row>
    <row r="20" spans="1:2" x14ac:dyDescent="0.35">
      <c r="A20" s="9" t="s">
        <v>117</v>
      </c>
      <c r="B20" s="6">
        <v>279</v>
      </c>
    </row>
    <row r="21" spans="1:2" x14ac:dyDescent="0.35">
      <c r="A21" s="9" t="s">
        <v>122</v>
      </c>
      <c r="B21" s="6">
        <v>117</v>
      </c>
    </row>
    <row r="22" spans="1:2" x14ac:dyDescent="0.35">
      <c r="A22" s="9" t="s">
        <v>120</v>
      </c>
      <c r="B22" s="6">
        <v>87</v>
      </c>
    </row>
    <row r="23" spans="1:2" x14ac:dyDescent="0.35">
      <c r="A23" s="9" t="s">
        <v>123</v>
      </c>
      <c r="B23" s="6">
        <v>33</v>
      </c>
    </row>
    <row r="24" spans="1:2" x14ac:dyDescent="0.35">
      <c r="A24" s="9" t="s">
        <v>121</v>
      </c>
      <c r="B24" s="6">
        <v>12</v>
      </c>
    </row>
    <row r="25" spans="1:2" x14ac:dyDescent="0.35">
      <c r="A25" s="9" t="s">
        <v>124</v>
      </c>
      <c r="B25" s="6">
        <v>2</v>
      </c>
    </row>
    <row r="26" spans="1:2" x14ac:dyDescent="0.35">
      <c r="A26" s="9" t="s">
        <v>109</v>
      </c>
      <c r="B26" s="6">
        <v>23709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workbookViewId="0">
      <selection activeCell="M16" sqref="M16"/>
    </sheetView>
  </sheetViews>
  <sheetFormatPr defaultRowHeight="14.5" x14ac:dyDescent="0.35"/>
  <sheetData>
    <row r="1" spans="1:15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image</vt:lpstr>
      <vt:lpstr>Data set</vt:lpstr>
      <vt:lpstr>Calculation1111</vt:lpstr>
      <vt:lpstr>Dashboard111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2024-09-19T03:09:18Z</dcterms:created>
  <dcterms:modified xsi:type="dcterms:W3CDTF">2025-08-30T04:59:33Z</dcterms:modified>
</cp:coreProperties>
</file>